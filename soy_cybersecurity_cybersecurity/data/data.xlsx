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327"/>
  <workbookPr/>
  <mc:AlternateContent xmlns:mc="http://schemas.openxmlformats.org/markup-compatibility/2006">
    <mc:Choice Requires="x15">
      <x15ac:absPath xmlns:x15ac="http://schemas.microsoft.com/office/spreadsheetml/2010/11/ac" url="C:\Users\USUARIO\Downloads\"/>
    </mc:Choice>
  </mc:AlternateContent>
  <xr:revisionPtr revIDLastSave="0" documentId="8_{5B3F9D01-EC00-448A-A2A1-E8E5B1921AEC}" xr6:coauthVersionLast="47" xr6:coauthVersionMax="47" xr10:uidLastSave="{00000000-0000-0000-0000-000000000000}"/>
  <bookViews>
    <workbookView xWindow="8348" yWindow="0" windowWidth="20534" windowHeight="15563" tabRatio="785" activeTab="9" xr2:uid="{00000000-000D-0000-FFFF-FFFF00000000}"/>
  </bookViews>
  <sheets>
    <sheet name="VALORES" sheetId="1" r:id="rId1"/>
    <sheet name="REQUISITOS" sheetId="11" r:id="rId2"/>
    <sheet name="ANÁLISIS DATOS GLOBAL" sheetId="3" r:id="rId3"/>
    <sheet name="ANÁLISIS 4" sheetId="4" r:id="rId4"/>
    <sheet name="ANÁLISIS 5" sheetId="5" r:id="rId5"/>
    <sheet name="ANÁLISIS 6" sheetId="6" r:id="rId6"/>
    <sheet name="ANÁLISIS 7" sheetId="7" r:id="rId7"/>
    <sheet name="ANÁLISIS 8" sheetId="8" r:id="rId8"/>
    <sheet name="ANÁLISIS 9" sheetId="9" r:id="rId9"/>
    <sheet name="ANÁLISIS 10"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2" i="10" l="1"/>
  <c r="E12" i="10"/>
  <c r="F12" i="10"/>
  <c r="G12" i="10"/>
  <c r="H12" i="10"/>
  <c r="D13" i="10"/>
  <c r="E13" i="10"/>
  <c r="F13" i="10"/>
  <c r="G13" i="10"/>
  <c r="H13" i="10"/>
  <c r="C13" i="10"/>
  <c r="C12" i="10"/>
  <c r="D13" i="9"/>
  <c r="E13" i="9"/>
  <c r="F13" i="9"/>
  <c r="G13" i="9"/>
  <c r="H13" i="9"/>
  <c r="D14" i="9"/>
  <c r="E14" i="9"/>
  <c r="F14" i="9"/>
  <c r="G14" i="9"/>
  <c r="H14" i="9"/>
  <c r="D15" i="9"/>
  <c r="E15" i="9"/>
  <c r="F15" i="9"/>
  <c r="G15" i="9"/>
  <c r="H15" i="9"/>
  <c r="C15" i="9"/>
  <c r="C14" i="9"/>
  <c r="C13" i="9"/>
  <c r="D11" i="8"/>
  <c r="E11" i="8"/>
  <c r="F11" i="8"/>
  <c r="G11" i="8"/>
  <c r="H11" i="8"/>
  <c r="D12" i="8"/>
  <c r="E12" i="8"/>
  <c r="F12" i="8"/>
  <c r="G12" i="8"/>
  <c r="H12" i="8"/>
  <c r="D13" i="8"/>
  <c r="E13" i="8"/>
  <c r="F13" i="8"/>
  <c r="G13" i="8"/>
  <c r="G14" i="8" s="1"/>
  <c r="H13" i="8"/>
  <c r="C13" i="8"/>
  <c r="C12" i="8"/>
  <c r="C11" i="8"/>
  <c r="D12" i="7"/>
  <c r="E12" i="7"/>
  <c r="F12" i="7"/>
  <c r="G12" i="7"/>
  <c r="H12" i="7"/>
  <c r="D13" i="7"/>
  <c r="E13" i="7"/>
  <c r="F13" i="7"/>
  <c r="G13" i="7"/>
  <c r="H13" i="7"/>
  <c r="D14" i="7"/>
  <c r="E14" i="7"/>
  <c r="F14" i="7"/>
  <c r="G14" i="7"/>
  <c r="H14" i="7"/>
  <c r="D15" i="7"/>
  <c r="E15" i="7"/>
  <c r="F15" i="7"/>
  <c r="G15" i="7"/>
  <c r="H15" i="7"/>
  <c r="D16" i="7"/>
  <c r="E16" i="7"/>
  <c r="F16" i="7"/>
  <c r="G16" i="7"/>
  <c r="H16" i="7"/>
  <c r="C16" i="7"/>
  <c r="C15" i="7"/>
  <c r="C14" i="7"/>
  <c r="C13" i="7"/>
  <c r="C12" i="7"/>
  <c r="D12" i="6"/>
  <c r="E12" i="6"/>
  <c r="F12" i="6"/>
  <c r="G12" i="6"/>
  <c r="H12" i="6"/>
  <c r="D13" i="6"/>
  <c r="E13" i="6"/>
  <c r="F13" i="6"/>
  <c r="G13" i="6"/>
  <c r="H13" i="6"/>
  <c r="C13" i="6"/>
  <c r="C12" i="6"/>
  <c r="D12" i="5"/>
  <c r="E12" i="5"/>
  <c r="F12" i="5"/>
  <c r="G12" i="5"/>
  <c r="H12" i="5"/>
  <c r="D13" i="5"/>
  <c r="E13" i="5"/>
  <c r="F13" i="5"/>
  <c r="G13" i="5"/>
  <c r="H13" i="5"/>
  <c r="D14" i="5"/>
  <c r="E14" i="5"/>
  <c r="F14" i="5"/>
  <c r="G14" i="5"/>
  <c r="H14" i="5"/>
  <c r="C14" i="5"/>
  <c r="C13" i="5"/>
  <c r="C12" i="5"/>
  <c r="D12" i="4"/>
  <c r="E12" i="4"/>
  <c r="F12" i="4"/>
  <c r="G12" i="4"/>
  <c r="H12" i="4"/>
  <c r="D13" i="4"/>
  <c r="E13" i="4"/>
  <c r="F13" i="4"/>
  <c r="G13" i="4"/>
  <c r="H13" i="4"/>
  <c r="D14" i="4"/>
  <c r="E14" i="4"/>
  <c r="F14" i="4"/>
  <c r="G14" i="4"/>
  <c r="H14" i="4"/>
  <c r="D15" i="4"/>
  <c r="E15" i="4"/>
  <c r="F15" i="4"/>
  <c r="G15" i="4"/>
  <c r="H15" i="4"/>
  <c r="C15" i="4"/>
  <c r="C14" i="4"/>
  <c r="C13" i="4"/>
  <c r="C12" i="4"/>
  <c r="D65" i="3"/>
  <c r="E65" i="3"/>
  <c r="F65" i="3"/>
  <c r="G65" i="3"/>
  <c r="H65" i="3"/>
  <c r="D66" i="3"/>
  <c r="E66" i="3"/>
  <c r="F66" i="3"/>
  <c r="G66" i="3"/>
  <c r="H66" i="3"/>
  <c r="C66" i="3"/>
  <c r="C65" i="3"/>
  <c r="D56" i="3"/>
  <c r="E56" i="3"/>
  <c r="F56" i="3"/>
  <c r="G56" i="3"/>
  <c r="H56" i="3"/>
  <c r="D57" i="3"/>
  <c r="E57" i="3"/>
  <c r="F57" i="3"/>
  <c r="G57" i="3"/>
  <c r="H57" i="3"/>
  <c r="D58" i="3"/>
  <c r="E58" i="3"/>
  <c r="F58" i="3"/>
  <c r="G58" i="3"/>
  <c r="H58" i="3"/>
  <c r="C58" i="3"/>
  <c r="C57" i="3"/>
  <c r="C56" i="3"/>
  <c r="D47" i="3"/>
  <c r="E47" i="3"/>
  <c r="F47" i="3"/>
  <c r="G47" i="3"/>
  <c r="H47" i="3"/>
  <c r="D48" i="3"/>
  <c r="E48" i="3"/>
  <c r="F48" i="3"/>
  <c r="G48" i="3"/>
  <c r="H48" i="3"/>
  <c r="D49" i="3"/>
  <c r="E49" i="3"/>
  <c r="F49" i="3"/>
  <c r="G49" i="3"/>
  <c r="H49" i="3"/>
  <c r="C49" i="3"/>
  <c r="C48" i="3"/>
  <c r="C47" i="3"/>
  <c r="D36" i="3"/>
  <c r="E36" i="3"/>
  <c r="F36" i="3"/>
  <c r="G36" i="3"/>
  <c r="H36" i="3"/>
  <c r="D37" i="3"/>
  <c r="E37" i="3"/>
  <c r="F37" i="3"/>
  <c r="G37" i="3"/>
  <c r="H37" i="3"/>
  <c r="D38" i="3"/>
  <c r="E38" i="3"/>
  <c r="F38" i="3"/>
  <c r="G38" i="3"/>
  <c r="H38" i="3"/>
  <c r="D39" i="3"/>
  <c r="E39" i="3"/>
  <c r="F39" i="3"/>
  <c r="G39" i="3"/>
  <c r="H39" i="3"/>
  <c r="D40" i="3"/>
  <c r="E40" i="3"/>
  <c r="F40" i="3"/>
  <c r="G40" i="3"/>
  <c r="H40" i="3"/>
  <c r="C40" i="3"/>
  <c r="C39" i="3"/>
  <c r="C38" i="3"/>
  <c r="C37" i="3"/>
  <c r="C36" i="3"/>
  <c r="D28" i="3"/>
  <c r="E28" i="3"/>
  <c r="F28" i="3"/>
  <c r="G28" i="3"/>
  <c r="H28" i="3"/>
  <c r="D29" i="3"/>
  <c r="E29" i="3"/>
  <c r="F29" i="3"/>
  <c r="G29" i="3"/>
  <c r="H29" i="3"/>
  <c r="C29" i="3"/>
  <c r="C28" i="3"/>
  <c r="D19" i="3"/>
  <c r="E19" i="3"/>
  <c r="F19" i="3"/>
  <c r="G19" i="3"/>
  <c r="H19" i="3"/>
  <c r="D20" i="3"/>
  <c r="E20" i="3"/>
  <c r="F20" i="3"/>
  <c r="G20" i="3"/>
  <c r="H20" i="3"/>
  <c r="D21" i="3"/>
  <c r="E21" i="3"/>
  <c r="F21" i="3"/>
  <c r="G21" i="3"/>
  <c r="H21" i="3"/>
  <c r="C21" i="3"/>
  <c r="C20" i="3"/>
  <c r="C19" i="3"/>
  <c r="D12" i="3"/>
  <c r="E12" i="3"/>
  <c r="F12" i="3"/>
  <c r="G12" i="3"/>
  <c r="H12" i="3"/>
  <c r="C12" i="3"/>
  <c r="D11" i="3"/>
  <c r="E11" i="3"/>
  <c r="F11" i="3"/>
  <c r="G11" i="3"/>
  <c r="H11" i="3"/>
  <c r="C11" i="3"/>
  <c r="D10" i="3"/>
  <c r="E10" i="3"/>
  <c r="F10" i="3"/>
  <c r="G10" i="3"/>
  <c r="H10" i="3"/>
  <c r="C10" i="3"/>
  <c r="H9" i="3"/>
  <c r="D9" i="3"/>
  <c r="E9" i="3"/>
  <c r="F9" i="3"/>
  <c r="G9" i="3"/>
  <c r="C9" i="3"/>
  <c r="H14" i="8" l="1"/>
  <c r="C14" i="10"/>
  <c r="C14" i="8"/>
  <c r="C16" i="9"/>
  <c r="C59" i="3"/>
  <c r="F14" i="8"/>
  <c r="E14" i="8"/>
  <c r="D14" i="8"/>
  <c r="I12" i="5"/>
  <c r="H16" i="4"/>
  <c r="C50" i="3"/>
  <c r="C41" i="3"/>
  <c r="I40" i="3"/>
  <c r="C30" i="3"/>
  <c r="I29" i="3"/>
  <c r="B45" i="6"/>
  <c r="H5" i="10"/>
  <c r="G5" i="9"/>
  <c r="F5" i="8"/>
  <c r="G5" i="7"/>
  <c r="F5" i="6"/>
  <c r="E5" i="5"/>
  <c r="F5" i="4"/>
  <c r="H16" i="9" l="1"/>
  <c r="G16" i="9"/>
  <c r="F16" i="9"/>
  <c r="E16" i="9"/>
  <c r="D16" i="9"/>
  <c r="C17" i="7"/>
  <c r="C14" i="6"/>
  <c r="G16" i="4"/>
  <c r="E16" i="4"/>
  <c r="C16" i="4"/>
  <c r="H59" i="3"/>
  <c r="G59" i="3"/>
  <c r="F59" i="3"/>
  <c r="E59" i="3"/>
  <c r="D59" i="3"/>
  <c r="H50" i="3"/>
  <c r="G50" i="3"/>
  <c r="F50" i="3"/>
  <c r="E50" i="3"/>
  <c r="D50" i="3"/>
  <c r="L14" i="3"/>
  <c r="L13" i="3"/>
  <c r="L12" i="3"/>
  <c r="L11" i="3"/>
  <c r="L10" i="3"/>
  <c r="L9" i="3"/>
  <c r="F16" i="4" l="1"/>
  <c r="D16" i="4"/>
  <c r="H13" i="3"/>
  <c r="D13" i="3"/>
  <c r="E13" i="3"/>
  <c r="F13" i="3"/>
  <c r="C13" i="3"/>
  <c r="G13" i="3"/>
  <c r="F22" i="3"/>
  <c r="F41" i="3"/>
  <c r="D67" i="3"/>
  <c r="H67" i="3"/>
  <c r="D15" i="5"/>
  <c r="F14" i="6"/>
  <c r="D17" i="7"/>
  <c r="H17" i="7"/>
  <c r="E30" i="3"/>
  <c r="G41" i="3"/>
  <c r="E67" i="3"/>
  <c r="E17" i="7"/>
  <c r="G14" i="10"/>
  <c r="F14" i="10"/>
  <c r="I14" i="9"/>
  <c r="D41" i="3"/>
  <c r="F17" i="7"/>
  <c r="D14" i="10"/>
  <c r="H14" i="10"/>
  <c r="I15" i="9"/>
  <c r="H41" i="3"/>
  <c r="E14" i="10"/>
  <c r="I58" i="3"/>
  <c r="H22" i="3"/>
  <c r="F67" i="3"/>
  <c r="I19" i="3"/>
  <c r="I65" i="3"/>
  <c r="G67" i="3"/>
  <c r="C15" i="5"/>
  <c r="G15" i="5"/>
  <c r="E14" i="6"/>
  <c r="G17" i="7"/>
  <c r="I39" i="3"/>
  <c r="I48" i="3"/>
  <c r="F15" i="5"/>
  <c r="I12" i="3"/>
  <c r="D30" i="3"/>
  <c r="H30" i="3"/>
  <c r="I66" i="3"/>
  <c r="I13" i="4"/>
  <c r="G14" i="6"/>
  <c r="I12" i="7"/>
  <c r="I14" i="7"/>
  <c r="I16" i="7"/>
  <c r="I12" i="8"/>
  <c r="I13" i="10"/>
  <c r="I20" i="3"/>
  <c r="C22" i="3"/>
  <c r="G22" i="3"/>
  <c r="I38" i="3"/>
  <c r="I49" i="3"/>
  <c r="F30" i="3"/>
  <c r="I12" i="4"/>
  <c r="I14" i="4"/>
  <c r="I13" i="5"/>
  <c r="E15" i="5"/>
  <c r="I13" i="7"/>
  <c r="I15" i="7"/>
  <c r="I13" i="8"/>
  <c r="I11" i="3"/>
  <c r="E22" i="3"/>
  <c r="I28" i="3"/>
  <c r="G30" i="3"/>
  <c r="E41" i="3"/>
  <c r="I37" i="3"/>
  <c r="I47" i="3"/>
  <c r="I57" i="3"/>
  <c r="H15" i="5"/>
  <c r="D14" i="6"/>
  <c r="H14" i="6"/>
  <c r="I10" i="3"/>
  <c r="I9" i="3"/>
  <c r="I21" i="3"/>
  <c r="I36" i="3"/>
  <c r="I56" i="3"/>
  <c r="I13" i="6"/>
  <c r="I12" i="10"/>
  <c r="D22" i="3"/>
  <c r="C67" i="3"/>
  <c r="I15" i="4"/>
  <c r="I14" i="5"/>
  <c r="I12" i="6"/>
  <c r="I11" i="8"/>
  <c r="I13" i="9"/>
  <c r="I30" i="3" l="1"/>
  <c r="B32" i="3" s="1"/>
  <c r="M11" i="3" s="1"/>
  <c r="N11" i="3" s="1"/>
  <c r="I16" i="9"/>
  <c r="I67" i="3"/>
  <c r="B69" i="3" s="1"/>
  <c r="M14" i="3" s="1"/>
  <c r="N14" i="3" s="1"/>
  <c r="I16" i="4"/>
  <c r="B18" i="4" s="1"/>
  <c r="B43" i="4" s="1"/>
  <c r="I14" i="8"/>
  <c r="B16" i="8" s="1"/>
  <c r="B47" i="8" s="1"/>
  <c r="I50" i="3"/>
  <c r="B52" i="3" s="1"/>
  <c r="I59" i="3"/>
  <c r="B61" i="3" s="1"/>
  <c r="M13" i="3" s="1"/>
  <c r="N13" i="3" s="1"/>
  <c r="I41" i="3"/>
  <c r="B43" i="3" s="1"/>
  <c r="M12" i="3" s="1"/>
  <c r="N12" i="3" s="1"/>
  <c r="I22" i="3"/>
  <c r="B24" i="3" s="1"/>
  <c r="M10" i="3" s="1"/>
  <c r="N10" i="3" s="1"/>
  <c r="I13" i="3"/>
  <c r="B15" i="3" s="1"/>
  <c r="M9" i="3" s="1"/>
  <c r="N9" i="3" s="1"/>
  <c r="B18" i="9"/>
  <c r="B45" i="9" s="1"/>
  <c r="D74" i="3"/>
  <c r="F74" i="3"/>
  <c r="E74" i="3"/>
  <c r="G74" i="3"/>
  <c r="I15" i="5"/>
  <c r="B17" i="5" s="1"/>
  <c r="B42" i="5" s="1"/>
  <c r="H74" i="3"/>
  <c r="C74" i="3"/>
  <c r="I17" i="7"/>
  <c r="B19" i="7" s="1"/>
  <c r="B46" i="7" s="1"/>
  <c r="I14" i="6"/>
  <c r="B16" i="6" s="1"/>
  <c r="I14" i="10"/>
  <c r="B16" i="10" s="1"/>
  <c r="B45" i="10" s="1"/>
  <c r="I74" i="3" l="1"/>
  <c r="B76" i="3" s="1"/>
  <c r="M15" i="3" l="1"/>
  <c r="N15" i="3" l="1"/>
  <c r="L4" i="3" s="1"/>
  <c r="M16" i="3"/>
  <c r="L56" i="3" l="1"/>
</calcChain>
</file>

<file path=xl/sharedStrings.xml><?xml version="1.0" encoding="utf-8"?>
<sst xmlns="http://schemas.openxmlformats.org/spreadsheetml/2006/main" count="404" uniqueCount="199">
  <si>
    <t>VALORES DE CUMPLIMIENTO</t>
  </si>
  <si>
    <t>% De cumplimiento</t>
  </si>
  <si>
    <t>Detalle</t>
  </si>
  <si>
    <t>No documentado / No existente</t>
  </si>
  <si>
    <t>Aplicado / No documentado</t>
  </si>
  <si>
    <t>Documentado / No aplicado</t>
  </si>
  <si>
    <t>Aplicado y documentado</t>
  </si>
  <si>
    <t>Aplicado, documentado y controlado</t>
  </si>
  <si>
    <t>N/A</t>
  </si>
  <si>
    <t>No aplica</t>
  </si>
  <si>
    <t xml:space="preserve">EMPRESA: </t>
  </si>
  <si>
    <t xml:space="preserve">FECHA APLICACIÓN: </t>
  </si>
  <si>
    <t xml:space="preserve">RESPONSABLE: </t>
  </si>
  <si>
    <t>4. Contexto de la organización</t>
  </si>
  <si>
    <t>La organización Debe:</t>
  </si>
  <si>
    <t>Observaciones</t>
  </si>
  <si>
    <t>4.2 Comprensión de las necesidades y expectativas de las partes interesadas</t>
  </si>
  <si>
    <t>La organización Debe:</t>
  </si>
  <si>
    <t>5. Liderazgo</t>
  </si>
  <si>
    <t>5.1 Liderazgo y compromiso</t>
  </si>
  <si>
    <t>6. Planificación</t>
  </si>
  <si>
    <t>6.1 Acciones para abordar riesgos y oportunidades</t>
  </si>
  <si>
    <t xml:space="preserve">La organización Debe: </t>
  </si>
  <si>
    <t>7. Apoyo</t>
  </si>
  <si>
    <t>7.2 Competencia</t>
  </si>
  <si>
    <t>La organización debe:</t>
  </si>
  <si>
    <t>7.4 Comunicación</t>
  </si>
  <si>
    <t>8. Operación</t>
  </si>
  <si>
    <t>8.1 Planificación y control operacional</t>
  </si>
  <si>
    <t>9 Evaluación del desempeño</t>
  </si>
  <si>
    <t>9.1 Seguimiento, medición, análisis y evaluación</t>
  </si>
  <si>
    <t>9.2 Auditoría interna</t>
  </si>
  <si>
    <t>9.3 Revisión por la dirección</t>
  </si>
  <si>
    <t>10 Mejora</t>
  </si>
  <si>
    <t>10.2 No conformidad y acción correctiva</t>
  </si>
  <si>
    <t>ANÁLISIS DE INFORMACIÓN</t>
  </si>
  <si>
    <t>4. CONTEXTO DE LA ORGANIZACIÓN</t>
  </si>
  <si>
    <t>% IMPLEMENTACIÓN POR CLÁUSULA</t>
  </si>
  <si>
    <t>NUMERAL</t>
  </si>
  <si>
    <t>TOTALES</t>
  </si>
  <si>
    <t>4.1</t>
  </si>
  <si>
    <t>4.2</t>
  </si>
  <si>
    <t>4.3</t>
  </si>
  <si>
    <t>4.4</t>
  </si>
  <si>
    <t>PORCENTAJE DE IMPLEMENTACIÓN</t>
  </si>
  <si>
    <t>5. LIDERAZGO</t>
  </si>
  <si>
    <t>5.1</t>
  </si>
  <si>
    <t>5.2</t>
  </si>
  <si>
    <t>5.3</t>
  </si>
  <si>
    <t>6. PLANIFICACIÓN</t>
  </si>
  <si>
    <t>6.1</t>
  </si>
  <si>
    <t>6.2</t>
  </si>
  <si>
    <t>7. SOPORTE</t>
  </si>
  <si>
    <t>7.1</t>
  </si>
  <si>
    <t>7.2</t>
  </si>
  <si>
    <t>7.3</t>
  </si>
  <si>
    <t>7.4</t>
  </si>
  <si>
    <t>BRECHA</t>
  </si>
  <si>
    <t>7.5</t>
  </si>
  <si>
    <t>8. OPERACIÓN</t>
  </si>
  <si>
    <t>8.1</t>
  </si>
  <si>
    <t>8.2</t>
  </si>
  <si>
    <t>8.3</t>
  </si>
  <si>
    <t>9. EVALUACIÓN DEL DESEMPEÑO</t>
  </si>
  <si>
    <t>9.1</t>
  </si>
  <si>
    <t>9.2</t>
  </si>
  <si>
    <t>9.3</t>
  </si>
  <si>
    <t xml:space="preserve"> para el cumplimiento del 100% de la norma.</t>
  </si>
  <si>
    <t>10. MEJORA</t>
  </si>
  <si>
    <t>10.1</t>
  </si>
  <si>
    <t>10.2</t>
  </si>
  <si>
    <t>SGC</t>
  </si>
  <si>
    <t>TOTAL</t>
  </si>
  <si>
    <t>&gt;&gt;&gt;&gt;&gt;&gt;</t>
  </si>
  <si>
    <t>0% -No documentado / No existente</t>
  </si>
  <si>
    <t>25% - Aplicado / No documentado</t>
  </si>
  <si>
    <t>50%  - Documentado / No aplicado</t>
  </si>
  <si>
    <t>75% - Aplicado y documentado</t>
  </si>
  <si>
    <t>100% - Aplicado, documentado y controlado</t>
  </si>
  <si>
    <t>PORCENTAJE DE IMPLEMENTACIÓN CLÁUSULA 4</t>
  </si>
  <si>
    <t>PORCENTAJE DE IMPLEMENTACIÓN CLÁUSULA 5</t>
  </si>
  <si>
    <t>PORCENTAJE DE IMPLEMENTACIÓN CLÁUSULA 6</t>
  </si>
  <si>
    <t>PORCENTAJE DE IMPLEMENTACIÓN CLÁUSULA 7</t>
  </si>
  <si>
    <t>PORCENTAJE DE IMPLEMENTACIÓN CLÁUSULA 8</t>
  </si>
  <si>
    <t>PORCENTAJE DE IMPLEMENTACIÓN CLÁUSULA 9</t>
  </si>
  <si>
    <t>PORCENTAJE DE IMPLEMENTACIÓN CLÁUSULA 10</t>
  </si>
  <si>
    <t>7.1 Recursos</t>
  </si>
  <si>
    <t>La organización debe</t>
  </si>
  <si>
    <t>10.1 Generalidades</t>
  </si>
  <si>
    <t>VALORES DE NIVEL</t>
  </si>
  <si>
    <t>NIVEL</t>
  </si>
  <si>
    <t>0% - 24%</t>
  </si>
  <si>
    <t>INICIAL</t>
  </si>
  <si>
    <t>25% - 49%</t>
  </si>
  <si>
    <t>NOVATO</t>
  </si>
  <si>
    <t>50%- 74%</t>
  </si>
  <si>
    <t>COMPETENTE</t>
  </si>
  <si>
    <t>75%- 99%</t>
  </si>
  <si>
    <t>AVANZADO</t>
  </si>
  <si>
    <t>EXPERTO</t>
  </si>
  <si>
    <t>CLÁUSULA</t>
  </si>
  <si>
    <t xml:space="preserve">% DE IMPLEMENTACIÓN </t>
  </si>
  <si>
    <t>TU NIVEL DE IMPLEMENTACIÓN GENERAL</t>
  </si>
  <si>
    <t>ANÁLISIS DE INFORMACIÓN E INTERPRETACIÓN</t>
  </si>
  <si>
    <t xml:space="preserve"> encontrándose en un nivel de implementación </t>
  </si>
  <si>
    <t>TU NIVEL EN ÉSTA CLÁUSULA ES DE NIVEL</t>
  </si>
  <si>
    <t>4.1 Comprensión de la organización y de su contexto</t>
  </si>
  <si>
    <t>7.5 Información documentada</t>
  </si>
  <si>
    <t>ANÁLISIS DE INFORMACIÓN Y RECOMENDACIONES</t>
  </si>
  <si>
    <t>7.APOYO</t>
  </si>
  <si>
    <t>La alta dirección debe:</t>
  </si>
  <si>
    <t>6.1 Acciones para tratar riesgos y oportunidades</t>
  </si>
  <si>
    <t>7.3 Toma de conciencia y formación</t>
  </si>
  <si>
    <t>La organización debe determinar:</t>
  </si>
  <si>
    <t>10.1 No conformidades y acciones correctivas</t>
  </si>
  <si>
    <t>10.2 Mejora continua</t>
  </si>
  <si>
    <t>TOTAL DE IMPLEMENTACIÓN SGAS</t>
  </si>
  <si>
    <t>Determinar los objetivos del Sistema de Gestión de Seguridad de la Información (SGSI).</t>
  </si>
  <si>
    <t>Determinar las cuestiones internas y externas relacionadas con la seguridad de la información.</t>
  </si>
  <si>
    <t>Determinar cómo las cuestiones internas y externas pueden generar riesgos o amenazas para la seguridad de la información.</t>
  </si>
  <si>
    <t>Determinar las partes interesadas pertinentes al SGSI.</t>
  </si>
  <si>
    <t>Determinar los requisitos de seguridad de la información de las partes interesadas.</t>
  </si>
  <si>
    <t>Determinar los requisitos legales, reglamentarios y contractuales aplicables a la seguridad de la información.</t>
  </si>
  <si>
    <t>ANÁLISIS DEL GRADO DE IMPLEMENTACIÓN DE LA NORMA ISO 27001:2022</t>
  </si>
  <si>
    <t>4.3 Determinación del alcance del SGSI</t>
  </si>
  <si>
    <t>Determinar los límites y la aplicabilidad del SGSI para establecer su alcance.</t>
  </si>
  <si>
    <t>Mantener el alcance del SGSI como información documentada.</t>
  </si>
  <si>
    <t>4.4 Sistema de gestión de seguridad de la información</t>
  </si>
  <si>
    <t>Establecer, implementar, mantener y mejorar continuamente el SGSI.</t>
  </si>
  <si>
    <t>Asegurar la revisión planificada del SGSI considerando oportunidades de mejora.</t>
  </si>
  <si>
    <t>Asegurar que los objetivos del SGSI sean coherentes con los objetivos del negocio.</t>
  </si>
  <si>
    <t>Proporcionar los recursos necesarios para el funcionamiento eficaz del SGSI.</t>
  </si>
  <si>
    <t>Revisar la eficacia del SGSI de forma planificada.</t>
  </si>
  <si>
    <t>5.2 Política de seguridad de la información</t>
  </si>
  <si>
    <t>Establecer una política de seguridad de la información.</t>
  </si>
  <si>
    <t>Proporcionar un marco para el establecimiento de objetivos del SGSI.</t>
  </si>
  <si>
    <t>Comunicar la política a las partes interesadas pertinentes.</t>
  </si>
  <si>
    <t>Mantener la política como información documentada.</t>
  </si>
  <si>
    <t>5.3 Roles, responsabilidades y autoridades</t>
  </si>
  <si>
    <t>Asignar responsabilidades y autoridades relacionadas con la seguridad de la información.</t>
  </si>
  <si>
    <t>Comunicar dichas responsabilidades dentro de la organización.</t>
  </si>
  <si>
    <t>Considerar las expectativas de las partes interesadas en la gestión de riesgos.</t>
  </si>
  <si>
    <t>Establecer un método para identificar, analizar y evaluar riesgos de seguridad de la información.</t>
  </si>
  <si>
    <t>Definir un proceso para el tratamiento de riesgos.</t>
  </si>
  <si>
    <t>Establecer criterios para la elaboración de la declaración de aplicabilidad (SoA).</t>
  </si>
  <si>
    <t>Mantener información documentada de la gestión de riesgos.</t>
  </si>
  <si>
    <t>6.2 Objetivos de seguridad de la información y planificación para lograrlos</t>
  </si>
  <si>
    <t>Establecer objetivos del SGSI coherentes con el negocio.</t>
  </si>
  <si>
    <t>Asegurar que los objetivos sean medibles.</t>
  </si>
  <si>
    <t>Planificar los objetivos considerando: Responsables, Plazos, Métodos de evaluación</t>
  </si>
  <si>
    <t>Integrar los objetivos en los procesos de la organización.</t>
  </si>
  <si>
    <t>Determinar y proporcionar los recursos necesarios para el SGSI.</t>
  </si>
  <si>
    <t>Determinar la competencia necesaria del personal que afecta la seguridad de la información.</t>
  </si>
  <si>
    <t>Asegurar y mantener la competencia del personal.</t>
  </si>
  <si>
    <t>Mantener información documentada como evidencia.</t>
  </si>
  <si>
    <t>Asegurar que el personal sea consciente de su rol en la seguridad de la información.</t>
  </si>
  <si>
    <t>Asegurar que el personal conozca los riesgos y consecuencias de incumplimiento.</t>
  </si>
  <si>
    <t>Determinar las comunicaciones internas y externas del SGSI.</t>
  </si>
  <si>
    <t>Establecer mecanismos para reportar incidentes o debilidades de seguridad.</t>
  </si>
  <si>
    <t>Mantener la documentación requerida por la norma y la organización.</t>
  </si>
  <si>
    <t>Incluir: política, alcance, procesos y registros del SGSI.</t>
  </si>
  <si>
    <t>Establecer controles documentales para: Aprobación, revisión, distribución, almacenamiento</t>
  </si>
  <si>
    <t>Controlar documentos de origen externo.</t>
  </si>
  <si>
    <t>Planificar y controlar los procesos del SGSI.</t>
  </si>
  <si>
    <t>Evaluar riesgos antes de realizar cambios.</t>
  </si>
  <si>
    <t>Implementar controles para mitigar riesgos derivados de cambios.</t>
  </si>
  <si>
    <t>Controlar procesos externalizados.</t>
  </si>
  <si>
    <t>8.2 Análisis de riesgos de seguridad de la información</t>
  </si>
  <si>
    <t>Establecer un proceso documentado de análisis de riesgos que considere: Propietario del riesgo, Impacto, Probabilidad</t>
  </si>
  <si>
    <t>8.3 Tratamiento de riesgos</t>
  </si>
  <si>
    <t>Implementar un plan de tratamiento de riesgos.</t>
  </si>
  <si>
    <t>Asegurar la aprobación por los responsables del riesgo.</t>
  </si>
  <si>
    <t>Documentar los controles aplicables.</t>
  </si>
  <si>
    <t>Justificar la selección de controles.</t>
  </si>
  <si>
    <t>Realizar seguimiento continuo de la seguridad de la información.</t>
  </si>
  <si>
    <t>Evaluar resultados y asegurar su uso en la toma de decisiones.</t>
  </si>
  <si>
    <t>Mantener evidencia documentada.</t>
  </si>
  <si>
    <t>Establecer un programa de auditoría interna.</t>
  </si>
  <si>
    <t>Definir alcance, criterios y responsables.</t>
  </si>
  <si>
    <t>Incluir acciones correctivas en los resultados.</t>
  </si>
  <si>
    <t>Revisar el SGSI a intervalos planificados.</t>
  </si>
  <si>
    <t>Evaluar resultados, desempeño y oportunidades de mejora.</t>
  </si>
  <si>
    <t>Mantener evidencia documentada de la revisión.</t>
  </si>
  <si>
    <t>Establecer un proceso para gestionar no conformidades.</t>
  </si>
  <si>
    <t>Determinar causas y aplicar acciones correctivas.</t>
  </si>
  <si>
    <t>Evaluar la eficacia de las acciones.</t>
  </si>
  <si>
    <t>Mejorar continuamente la eficacia del SGSI.</t>
  </si>
  <si>
    <t>Identificar oportunidades de mejora.</t>
  </si>
  <si>
    <t>PORCENTAJE TOTAL DE IMPLEMENTACIÓN SGSI</t>
  </si>
  <si>
    <t xml:space="preserve"> con respecto a los "DEBES" que la norma contempla en su totalidad dentro de cada uno de sus requisitos, asi mismo la imagen "PORCENTAJE DE IMPLEMENTACIÓN DEL SGSI" muestra que existe una brecha de implementación de </t>
  </si>
  <si>
    <t>Todo el capítulo 8 hace referencia a la implementación de controles operacionales y medidas de seguridad de la información que debe establecer la organización para gestionar los riesgos identificados. Incluye la planificación y control de los procesos del SGSI, el análisis y tratamiento de riesgos, así como la implementación de controles técnicos, organizativos y operativos. Asimismo, considera la gestión de cambios, el control de procesos externalizados y la aplicación de medidas para proteger la confidencialidad, integridad y disponibilidad de la información. También contempla la necesidad de establecer mecanismos para reportar incidentes o debilidades de seguridad de la información, así como la implementación de procedimientos para la gestión, respuesta y tratamiento de incidentes de seguridad de la información.</t>
  </si>
  <si>
    <t>Modo de uso: Con el texto de la norma ISO 27001:2022 en mano y para cada punto normativo, responda con total honestidad marcando con una X si cumple totalmente o parcialmente el requisito y de un % conforme a los valores de cumplimiento. Puede agregar un comentario para justificar su evaluación. En las demás hojas de cálculo se mostrará la brecha en forma visual y los análisis por numeral de la norma.</t>
  </si>
  <si>
    <t xml:space="preserve">Según el diagnóstico realizado y análisis de la situación actual de la empresa conforme a los requisitos de la norma ISO 27001:2022 se ha obtenido los siguientes resultados: La tabla "TOTAL DE IMPLEMENTACIÓN SGSI" muestra que se ha obtenido un porcentaje de implementación de  </t>
  </si>
  <si>
    <t>Se realiza un análisis del contexto de la organización desde la perspectiva de la seguridad de la información, considerando los factores internos y externos que pueden afectar al SGSI. Asimismo, se identifican las partes interesadas, junto con sus necesidades y expectativas relacionadas con la seguridad de la información.
Con base en ello, se define el alcance del Sistema de Gestión de Seguridad de la Información (SGSI). Posteriormente, se lleva a cabo la evaluación de riesgos de seguridad de la información, iniciando con la identificación de los riesgos, su análisis y valoración, con el fin de establecer los niveles de riesgo asociados a las diferentes áreas, procesos y activos de la organización.</t>
  </si>
  <si>
    <t>Se definen funciones y responsabilidades dentro del sistema en particular las funciones de control de cumplimiento. Además en este capítulo nos habla del órgano de gobierno y la alta dirección, algunas organizaciones, particularmente las más pequeñas, pueden no tener un órgano de gobierno independiente o los roles de la alta dirección y del órgano de gobierno pueden estar combinados en un grupo o incluso en un individuo, En esos casos, el grupo o el individuo tendrán las responsabilidades asignadas para la alta dirección y el órgano de gobierno.</t>
  </si>
  <si>
    <t xml:space="preserve">Este capítulo hace referencia a la Planificación del SGSI. La organización debe considerar y/o tiene que establecer las cuestiones del punto 4.1, los requisitos de 4.2 y riesgos identificados, así como las oportunidades. También nos indica que se deben establecer objetivos de seguridad de la información los cuáles tienen que ser coherentes con nuestra política de seguridad de la información establecida. </t>
  </si>
  <si>
    <t>Todo el capítulo aborda todo el apoyo que se necesita para cumplir con nuestros objetivos de nuestro SGSI. Esto incluye los recursos necesarios, las personas idóneas y competentes, procedimientos para el proceso de contratación, la toma de conciencia y formación respecto al SGSI, la comunicación teniendo en cuenta el idioma de los posibles socios de negocio o partes interesadas y la información documentada que gracias al sistema ERP no presentará mayor dificultad, ya que al ser automatizado, todo estará al alcance y con versiones actualizadas.</t>
  </si>
  <si>
    <t>Todo este capítulo hace referencia a que debemos definir todo aquello que deseamos medir en la organización, analizar y evaluar. Teniendo en cuenta todos aquellos procesos, actividades, todo aquello que sea crítico en tu organización. También incluye dos temas importantes y fundamentales para lograr una certificación, las cuales son: auditoría interna y revisión por la dirección; recuerda que ambas deben ser planificadas y estar debidamente documentadas.</t>
  </si>
  <si>
    <t>Trata sobre las oportunidades para mejorar que surgen de manera continua dentro de las organizaciones. Estas mejoras resultan de definir procesos de trabajo o cambios en la organización, pero también aparecen a raíz de errores y lecciones aprendidas del pasado.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</si>
</sst>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mm/yyyy;@"/>
  </numFmts>
  <fonts count="36" x14ac:knownFonts="1">
    <font>
      <sz val="11"/>
      <color theme="1"/>
      <name val="Calibri"/>
      <family val="2"/>
      <scheme val="minor"/>
    </font>
    <font>
      <sz val="11"/>
      <color theme="1"/>
      <name val="Calibri"/>
      <family val="2"/>
      <scheme val="minor"/>
    </font>
    <font>
      <b/>
      <sz val="15"/>
      <color theme="3"/>
      <name val="Calibri"/>
      <family val="2"/>
      <scheme val="minor"/>
    </font>
    <font>
      <b/>
      <sz val="13"/>
      <color theme="3"/>
      <name val="Calibri"/>
      <family val="2"/>
      <scheme val="minor"/>
    </font>
    <font>
      <sz val="11"/>
      <color rgb="FFFA7D00"/>
      <name val="Calibri"/>
      <family val="2"/>
      <scheme val="minor"/>
    </font>
    <font>
      <b/>
      <sz val="13"/>
      <color theme="3"/>
      <name val="Arial"/>
      <family val="2"/>
    </font>
    <font>
      <sz val="12"/>
      <color theme="1"/>
      <name val="Arial"/>
      <family val="2"/>
    </font>
    <font>
      <b/>
      <sz val="12"/>
      <color theme="1"/>
      <name val="Arial"/>
      <family val="2"/>
    </font>
    <font>
      <b/>
      <sz val="14"/>
      <name val="Arial"/>
      <family val="2"/>
    </font>
    <font>
      <b/>
      <sz val="16"/>
      <color theme="0"/>
      <name val="Arial"/>
      <family val="2"/>
    </font>
    <font>
      <sz val="12"/>
      <color rgb="FF000000"/>
      <name val="Arial"/>
      <family val="2"/>
    </font>
    <font>
      <b/>
      <sz val="12"/>
      <color rgb="FF000000"/>
      <name val="Arial"/>
      <family val="2"/>
    </font>
    <font>
      <b/>
      <sz val="10"/>
      <name val="Arial"/>
      <family val="2"/>
    </font>
    <font>
      <sz val="9"/>
      <name val="Arial"/>
      <family val="2"/>
    </font>
    <font>
      <b/>
      <sz val="11"/>
      <name val="Arial"/>
      <family val="2"/>
    </font>
    <font>
      <b/>
      <sz val="9"/>
      <name val="Arial"/>
      <family val="2"/>
    </font>
    <font>
      <sz val="10"/>
      <name val="Arial"/>
      <family val="2"/>
    </font>
    <font>
      <b/>
      <sz val="12"/>
      <color indexed="18"/>
      <name val="Arial"/>
      <family val="2"/>
    </font>
    <font>
      <sz val="7"/>
      <color theme="1"/>
      <name val="Arial"/>
      <family val="2"/>
    </font>
    <font>
      <sz val="12"/>
      <color theme="1"/>
      <name val="Times New Roman"/>
      <family val="1"/>
    </font>
    <font>
      <b/>
      <sz val="11"/>
      <color theme="0"/>
      <name val="Arial"/>
      <family val="2"/>
    </font>
    <font>
      <sz val="12"/>
      <name val="Arial"/>
      <family val="2"/>
    </font>
    <font>
      <b/>
      <sz val="11"/>
      <color theme="1"/>
      <name val="Calibri"/>
      <family val="2"/>
      <scheme val="minor"/>
    </font>
    <font>
      <b/>
      <sz val="15"/>
      <color theme="0"/>
      <name val="Arial"/>
      <family val="2"/>
    </font>
    <font>
      <b/>
      <sz val="22"/>
      <color theme="0"/>
      <name val="Arial"/>
      <family val="2"/>
    </font>
    <font>
      <b/>
      <sz val="12"/>
      <name val="Arial"/>
      <family val="2"/>
    </font>
    <font>
      <b/>
      <sz val="12"/>
      <color theme="0"/>
      <name val="Arial"/>
      <family val="2"/>
    </font>
    <font>
      <b/>
      <sz val="12"/>
      <color theme="0"/>
      <name val="Calibri"/>
      <family val="2"/>
      <scheme val="minor"/>
    </font>
    <font>
      <b/>
      <sz val="14"/>
      <color theme="0"/>
      <name val="Times New Roman"/>
      <family val="1"/>
    </font>
    <font>
      <b/>
      <sz val="16"/>
      <color theme="0"/>
      <name val="Times New Roman"/>
      <family val="1"/>
    </font>
    <font>
      <sz val="8"/>
      <color theme="1"/>
      <name val="Arial"/>
      <family val="2"/>
    </font>
    <font>
      <b/>
      <sz val="14"/>
      <color theme="0"/>
      <name val="Arial"/>
      <family val="2"/>
    </font>
    <font>
      <sz val="11"/>
      <color theme="1"/>
      <name val="Arial"/>
      <family val="2"/>
    </font>
    <font>
      <b/>
      <sz val="20"/>
      <color theme="0"/>
      <name val="Arial"/>
      <family val="2"/>
    </font>
    <font>
      <b/>
      <sz val="16"/>
      <color theme="1"/>
      <name val="Arial"/>
      <family val="2"/>
    </font>
    <font>
      <b/>
      <sz val="16"/>
      <color rgb="FF000000"/>
      <name val="Arial"/>
      <family val="2"/>
    </font>
  </fonts>
  <fills count="8">
    <fill>
      <patternFill patternType="none"/>
    </fill>
    <fill>
      <patternFill patternType="gray125"/>
    </fill>
    <fill>
      <patternFill patternType="solid">
        <fgColor theme="4" tint="0.79998168889431442"/>
        <bgColor indexed="65"/>
      </patternFill>
    </fill>
    <fill>
      <patternFill patternType="solid">
        <fgColor theme="2" tint="0.59999389629810485"/>
        <bgColor indexed="64"/>
      </patternFill>
    </fill>
    <fill>
      <patternFill patternType="solid">
        <fgColor theme="0" tint="-0.499984740745262"/>
        <bgColor indexed="64"/>
      </patternFill>
    </fill>
    <fill>
      <patternFill patternType="solid">
        <fgColor rgb="FFA0A0A0"/>
        <bgColor indexed="64"/>
      </patternFill>
    </fill>
    <fill>
      <patternFill patternType="solid">
        <fgColor rgb="FFEEEEEE"/>
        <bgColor indexed="64"/>
      </patternFill>
    </fill>
    <fill>
      <patternFill patternType="solid">
        <fgColor theme="0"/>
        <bgColor indexed="64"/>
      </patternFill>
    </fill>
  </fills>
  <borders count="61">
    <border>
      <left/>
      <right/>
      <top/>
      <bottom/>
      <diagonal/>
    </border>
    <border>
      <left/>
      <right/>
      <top/>
      <bottom style="thick">
        <color theme="4"/>
      </bottom>
      <diagonal/>
    </border>
    <border>
      <left/>
      <right/>
      <top/>
      <bottom style="thick">
        <color theme="4" tint="0.499984740745262"/>
      </bottom>
      <diagonal/>
    </border>
    <border>
      <left/>
      <right/>
      <top/>
      <bottom style="double">
        <color rgb="FFFF8001"/>
      </bottom>
      <diagonal/>
    </border>
    <border>
      <left style="thin">
        <color theme="3" tint="0.39997558519241921"/>
      </left>
      <right style="thin">
        <color theme="3" tint="0.39997558519241921"/>
      </right>
      <top style="thin">
        <color theme="3" tint="0.39997558519241921"/>
      </top>
      <bottom style="thin">
        <color theme="3" tint="0.39997558519241921"/>
      </bottom>
      <diagonal/>
    </border>
    <border>
      <left style="thin">
        <color theme="3" tint="0.39997558519241921"/>
      </left>
      <right/>
      <top style="thin">
        <color theme="3" tint="0.39997558519241921"/>
      </top>
      <bottom style="thin">
        <color theme="3" tint="0.39997558519241921"/>
      </bottom>
      <diagonal/>
    </border>
    <border>
      <left/>
      <right style="thin">
        <color theme="3" tint="0.39997558519241921"/>
      </right>
      <top style="thin">
        <color theme="3" tint="0.39997558519241921"/>
      </top>
      <bottom style="thin">
        <color theme="3" tint="0.39997558519241921"/>
      </bottom>
      <diagonal/>
    </border>
    <border>
      <left/>
      <right/>
      <top style="thin">
        <color theme="3" tint="0.39997558519241921"/>
      </top>
      <bottom style="thin">
        <color theme="3" tint="0.39997558519241921"/>
      </bottom>
      <diagonal/>
    </border>
    <border>
      <left/>
      <right/>
      <top/>
      <bottom style="double">
        <color theme="1"/>
      </bottom>
      <diagonal/>
    </border>
    <border>
      <left style="thin">
        <color indexed="64"/>
      </left>
      <right/>
      <top style="thin">
        <color indexed="64"/>
      </top>
      <bottom style="thin">
        <color indexed="64"/>
      </bottom>
      <diagonal/>
    </border>
    <border>
      <left style="thin">
        <color theme="3" tint="0.39997558519241921"/>
      </left>
      <right style="thin">
        <color theme="3" tint="0.39997558519241921"/>
      </right>
      <top style="thin">
        <color theme="3" tint="0.39997558519241921"/>
      </top>
      <bottom/>
      <diagonal/>
    </border>
    <border>
      <left style="thin">
        <color theme="3" tint="0.39997558519241921"/>
      </left>
      <right style="thin">
        <color theme="3" tint="0.39997558519241921"/>
      </right>
      <top/>
      <bottom style="thin">
        <color theme="3" tint="0.39997558519241921"/>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theme="3" tint="0.39997558519241921"/>
      </bottom>
      <diagonal/>
    </border>
    <border>
      <left style="medium">
        <color indexed="64"/>
      </left>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medium">
        <color indexed="64"/>
      </left>
      <right/>
      <top/>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style="thin">
        <color indexed="64"/>
      </top>
      <bottom style="thin">
        <color indexed="64"/>
      </bottom>
      <diagonal/>
    </border>
    <border>
      <left/>
      <right/>
      <top/>
      <bottom style="medium">
        <color indexed="64"/>
      </bottom>
      <diagonal/>
    </border>
    <border>
      <left style="medium">
        <color indexed="64"/>
      </left>
      <right style="thin">
        <color theme="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right/>
      <top style="double">
        <color indexed="64"/>
      </top>
      <bottom/>
      <diagonal/>
    </border>
    <border>
      <left/>
      <right/>
      <top/>
      <bottom style="double">
        <color indexed="64"/>
      </bottom>
      <diagonal/>
    </border>
    <border>
      <left/>
      <right/>
      <top style="medium">
        <color indexed="64"/>
      </top>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right style="medium">
        <color indexed="64"/>
      </right>
      <top style="thin">
        <color indexed="64"/>
      </top>
      <bottom style="medium">
        <color indexed="64"/>
      </bottom>
      <diagonal/>
    </border>
    <border>
      <left style="thin">
        <color theme="0" tint="-0.14999847407452621"/>
      </left>
      <right style="thin">
        <color theme="3" tint="0.39997558519241921"/>
      </right>
      <top style="thin">
        <color theme="3" tint="0.39997558519241921"/>
      </top>
      <bottom/>
      <diagonal/>
    </border>
    <border>
      <left style="thin">
        <color theme="0" tint="-0.14999847407452621"/>
      </left>
      <right/>
      <top style="thin">
        <color theme="3" tint="0.39997558519241921"/>
      </top>
      <bottom style="thin">
        <color theme="3" tint="0.39997558519241921"/>
      </bottom>
      <diagonal/>
    </border>
    <border>
      <left style="thin">
        <color theme="0" tint="-0.14999847407452621"/>
      </left>
      <right style="thin">
        <color theme="3" tint="0.39997558519241921"/>
      </right>
      <top/>
      <bottom/>
      <diagonal/>
    </border>
    <border>
      <left style="medium">
        <color indexed="64"/>
      </left>
      <right style="thin">
        <color indexed="64"/>
      </right>
      <top style="thin">
        <color indexed="64"/>
      </top>
      <bottom/>
      <diagonal/>
    </border>
    <border>
      <left/>
      <right style="medium">
        <color indexed="64"/>
      </right>
      <top style="thin">
        <color indexed="64"/>
      </top>
      <bottom/>
      <diagonal/>
    </border>
  </borders>
  <cellStyleXfs count="6">
    <xf numFmtId="0" fontId="0" fillId="0" borderId="0"/>
    <xf numFmtId="0" fontId="2" fillId="0" borderId="1"/>
    <xf numFmtId="0" fontId="3" fillId="0" borderId="2"/>
    <xf numFmtId="0" fontId="4" fillId="0" borderId="3"/>
    <xf numFmtId="0" fontId="1" fillId="2" borderId="0"/>
    <xf numFmtId="9" fontId="1" fillId="0" borderId="0"/>
  </cellStyleXfs>
  <cellXfs count="306">
    <xf numFmtId="0" fontId="0" fillId="0" borderId="0" xfId="0"/>
    <xf numFmtId="0" fontId="0" fillId="0" borderId="0" xfId="0" applyAlignment="1">
      <alignment horizontal="center"/>
    </xf>
    <xf numFmtId="0" fontId="6" fillId="0" borderId="0" xfId="0" applyFont="1"/>
    <xf numFmtId="0" fontId="6" fillId="0" borderId="4" xfId="0" applyFont="1" applyBorder="1" applyAlignment="1">
      <alignment horizontal="center" vertical="center"/>
    </xf>
    <xf numFmtId="0" fontId="6" fillId="0" borderId="5" xfId="0" applyFont="1" applyBorder="1" applyAlignment="1">
      <alignment horizontal="center" vertical="center"/>
    </xf>
    <xf numFmtId="0" fontId="6" fillId="0" borderId="0" xfId="0" applyFont="1" applyAlignment="1">
      <alignment horizontal="center"/>
    </xf>
    <xf numFmtId="0" fontId="0" fillId="0" borderId="0" xfId="0" applyAlignment="1">
      <alignment wrapText="1"/>
    </xf>
    <xf numFmtId="0" fontId="6" fillId="0" borderId="4" xfId="0" applyFont="1" applyBorder="1" applyAlignment="1">
      <alignment horizontal="justify" vertical="center" wrapText="1"/>
    </xf>
    <xf numFmtId="0" fontId="13" fillId="0" borderId="0" xfId="0" applyFont="1" applyProtection="1">
      <protection hidden="1"/>
    </xf>
    <xf numFmtId="3" fontId="0" fillId="0" borderId="0" xfId="0" applyNumberFormat="1" applyProtection="1">
      <protection hidden="1"/>
    </xf>
    <xf numFmtId="9" fontId="15" fillId="0" borderId="16" xfId="0" applyNumberFormat="1" applyFont="1" applyBorder="1" applyAlignment="1" applyProtection="1">
      <alignment horizontal="center"/>
      <protection hidden="1"/>
    </xf>
    <xf numFmtId="0" fontId="15" fillId="0" borderId="16" xfId="0" applyFont="1" applyBorder="1" applyAlignment="1" applyProtection="1">
      <alignment horizontal="center"/>
      <protection hidden="1"/>
    </xf>
    <xf numFmtId="0" fontId="12" fillId="0" borderId="16" xfId="0" applyFont="1" applyBorder="1" applyAlignment="1" applyProtection="1">
      <alignment horizontal="center"/>
      <protection hidden="1"/>
    </xf>
    <xf numFmtId="9" fontId="16" fillId="0" borderId="18" xfId="0" applyNumberFormat="1" applyFont="1" applyBorder="1" applyProtection="1">
      <protection hidden="1"/>
    </xf>
    <xf numFmtId="0" fontId="13" fillId="0" borderId="0" xfId="0" applyFont="1" applyAlignment="1" applyProtection="1">
      <alignment wrapText="1"/>
      <protection hidden="1"/>
    </xf>
    <xf numFmtId="1" fontId="16" fillId="0" borderId="19" xfId="0" applyNumberFormat="1" applyFont="1" applyBorder="1" applyProtection="1">
      <protection hidden="1"/>
    </xf>
    <xf numFmtId="9" fontId="16" fillId="0" borderId="20" xfId="0" applyNumberFormat="1" applyFont="1" applyBorder="1" applyProtection="1">
      <protection hidden="1"/>
    </xf>
    <xf numFmtId="1" fontId="16" fillId="0" borderId="0" xfId="0" applyNumberFormat="1" applyFont="1" applyProtection="1">
      <protection hidden="1"/>
    </xf>
    <xf numFmtId="3" fontId="16" fillId="0" borderId="0" xfId="0" applyNumberFormat="1" applyFont="1" applyProtection="1">
      <protection hidden="1"/>
    </xf>
    <xf numFmtId="0" fontId="15" fillId="0" borderId="0" xfId="0" applyFont="1" applyProtection="1">
      <protection hidden="1"/>
    </xf>
    <xf numFmtId="2" fontId="0" fillId="0" borderId="0" xfId="0" applyNumberFormat="1" applyProtection="1">
      <protection hidden="1"/>
    </xf>
    <xf numFmtId="9" fontId="16" fillId="0" borderId="0" xfId="0" applyNumberFormat="1" applyFont="1" applyProtection="1">
      <protection hidden="1"/>
    </xf>
    <xf numFmtId="0" fontId="17" fillId="0" borderId="0" xfId="0" applyFont="1" applyAlignment="1" applyProtection="1">
      <alignment horizontal="center"/>
      <protection hidden="1"/>
    </xf>
    <xf numFmtId="9" fontId="12" fillId="0" borderId="16" xfId="0" applyNumberFormat="1" applyFont="1" applyBorder="1" applyAlignment="1" applyProtection="1">
      <alignment horizontal="center"/>
      <protection hidden="1"/>
    </xf>
    <xf numFmtId="10" fontId="0" fillId="0" borderId="0" xfId="0" applyNumberFormat="1" applyProtection="1">
      <protection hidden="1"/>
    </xf>
    <xf numFmtId="1" fontId="16" fillId="0" borderId="27" xfId="0" applyNumberFormat="1" applyFont="1" applyBorder="1" applyProtection="1">
      <protection hidden="1"/>
    </xf>
    <xf numFmtId="9" fontId="16" fillId="0" borderId="28" xfId="0" applyNumberFormat="1" applyFont="1" applyBorder="1" applyProtection="1">
      <protection hidden="1"/>
    </xf>
    <xf numFmtId="1" fontId="16" fillId="0" borderId="29" xfId="0" applyNumberFormat="1" applyFont="1" applyBorder="1" applyProtection="1">
      <protection hidden="1"/>
    </xf>
    <xf numFmtId="1" fontId="16" fillId="0" borderId="28" xfId="0" applyNumberFormat="1" applyFont="1" applyBorder="1" applyProtection="1">
      <protection hidden="1"/>
    </xf>
    <xf numFmtId="9" fontId="0" fillId="0" borderId="0" xfId="5" applyFont="1" applyProtection="1">
      <protection hidden="1"/>
    </xf>
    <xf numFmtId="9" fontId="15" fillId="0" borderId="33" xfId="0" applyNumberFormat="1" applyFont="1" applyBorder="1" applyAlignment="1" applyProtection="1">
      <alignment horizontal="center"/>
      <protection hidden="1"/>
    </xf>
    <xf numFmtId="0" fontId="15" fillId="0" borderId="33" xfId="0" applyFont="1" applyBorder="1" applyAlignment="1" applyProtection="1">
      <alignment horizontal="center"/>
      <protection hidden="1"/>
    </xf>
    <xf numFmtId="0" fontId="6" fillId="0" borderId="4" xfId="0" applyFont="1" applyBorder="1" applyAlignment="1">
      <alignment horizontal="center" vertical="center" wrapText="1"/>
    </xf>
    <xf numFmtId="0" fontId="19" fillId="0" borderId="0" xfId="0" applyFont="1" applyProtection="1">
      <protection hidden="1"/>
    </xf>
    <xf numFmtId="9" fontId="0" fillId="0" borderId="0" xfId="0" applyNumberFormat="1" applyProtection="1">
      <protection hidden="1"/>
    </xf>
    <xf numFmtId="0" fontId="0" fillId="0" borderId="0" xfId="0" applyAlignment="1" applyProtection="1">
      <alignment wrapText="1"/>
      <protection hidden="1"/>
    </xf>
    <xf numFmtId="0" fontId="12" fillId="0" borderId="0" xfId="0" applyFont="1" applyAlignment="1" applyProtection="1">
      <alignment horizontal="center"/>
      <protection hidden="1"/>
    </xf>
    <xf numFmtId="0" fontId="0" fillId="0" borderId="0" xfId="0" applyProtection="1">
      <protection hidden="1"/>
    </xf>
    <xf numFmtId="165" fontId="12" fillId="0" borderId="0" xfId="0" applyNumberFormat="1" applyFont="1" applyProtection="1">
      <protection hidden="1"/>
    </xf>
    <xf numFmtId="164" fontId="0" fillId="0" borderId="0" xfId="5" applyNumberFormat="1" applyFont="1" applyProtection="1">
      <protection hidden="1"/>
    </xf>
    <xf numFmtId="9" fontId="7" fillId="6" borderId="7" xfId="4" applyNumberFormat="1" applyFont="1" applyFill="1" applyBorder="1" applyAlignment="1">
      <alignment horizontal="center" vertical="center" wrapText="1"/>
    </xf>
    <xf numFmtId="9" fontId="7" fillId="6" borderId="5" xfId="4" applyNumberFormat="1" applyFont="1" applyFill="1" applyBorder="1" applyAlignment="1">
      <alignment horizontal="center" vertical="center" wrapText="1"/>
    </xf>
    <xf numFmtId="9" fontId="7" fillId="6" borderId="4" xfId="4" applyNumberFormat="1" applyFont="1" applyFill="1" applyBorder="1" applyAlignment="1">
      <alignment horizontal="center" vertical="center" wrapText="1"/>
    </xf>
    <xf numFmtId="0" fontId="7" fillId="6" borderId="4" xfId="4" applyFont="1" applyFill="1" applyBorder="1" applyAlignment="1">
      <alignment horizontal="center" vertical="center" wrapText="1"/>
    </xf>
    <xf numFmtId="0" fontId="7" fillId="6" borderId="4" xfId="0" applyFont="1" applyFill="1" applyBorder="1" applyAlignment="1">
      <alignment horizontal="left" vertical="center" wrapText="1"/>
    </xf>
    <xf numFmtId="9" fontId="7" fillId="6" borderId="10" xfId="4" applyNumberFormat="1" applyFont="1" applyFill="1" applyBorder="1" applyAlignment="1">
      <alignment horizontal="center" vertical="center" wrapText="1"/>
    </xf>
    <xf numFmtId="0" fontId="7" fillId="6" borderId="10" xfId="4" applyFont="1" applyFill="1" applyBorder="1" applyAlignment="1">
      <alignment horizontal="center" vertical="center" wrapText="1"/>
    </xf>
    <xf numFmtId="9" fontId="7" fillId="6" borderId="11" xfId="4" applyNumberFormat="1" applyFont="1" applyFill="1" applyBorder="1" applyAlignment="1">
      <alignment horizontal="center" vertical="center" wrapText="1"/>
    </xf>
    <xf numFmtId="0" fontId="7" fillId="6" borderId="11" xfId="4" applyFont="1" applyFill="1" applyBorder="1" applyAlignment="1">
      <alignment horizontal="center" vertical="center" wrapText="1"/>
    </xf>
    <xf numFmtId="9" fontId="7" fillId="6" borderId="26" xfId="4" applyNumberFormat="1" applyFont="1" applyFill="1" applyBorder="1" applyAlignment="1">
      <alignment horizontal="center" vertical="center" wrapText="1"/>
    </xf>
    <xf numFmtId="0" fontId="7" fillId="6" borderId="4" xfId="0" applyFont="1" applyFill="1" applyBorder="1" applyAlignment="1">
      <alignment horizontal="justify" vertical="center"/>
    </xf>
    <xf numFmtId="9" fontId="7" fillId="3" borderId="18" xfId="4" applyNumberFormat="1" applyFont="1" applyFill="1" applyBorder="1" applyAlignment="1">
      <alignment horizontal="center" vertical="center"/>
    </xf>
    <xf numFmtId="0" fontId="6" fillId="3" borderId="39" xfId="4" applyFont="1" applyFill="1" applyBorder="1" applyAlignment="1">
      <alignment horizontal="center" vertical="center"/>
    </xf>
    <xf numFmtId="0" fontId="7" fillId="3" borderId="31" xfId="4" applyFont="1" applyFill="1" applyBorder="1" applyAlignment="1">
      <alignment horizontal="center" vertical="center"/>
    </xf>
    <xf numFmtId="0" fontId="6" fillId="3" borderId="42" xfId="4" applyFont="1" applyFill="1" applyBorder="1" applyAlignment="1">
      <alignment horizontal="center" vertical="center"/>
    </xf>
    <xf numFmtId="9" fontId="7" fillId="3" borderId="43" xfId="4" applyNumberFormat="1" applyFont="1" applyFill="1" applyBorder="1" applyAlignment="1">
      <alignment horizontal="center" vertical="center"/>
    </xf>
    <xf numFmtId="0" fontId="6" fillId="3" borderId="44" xfId="4" applyFont="1" applyFill="1" applyBorder="1" applyAlignment="1">
      <alignment horizontal="center" vertical="center"/>
    </xf>
    <xf numFmtId="0" fontId="5" fillId="3" borderId="23" xfId="2" applyFont="1" applyFill="1" applyBorder="1" applyAlignment="1">
      <alignment horizontal="center" vertical="center"/>
    </xf>
    <xf numFmtId="0" fontId="5" fillId="3" borderId="13" xfId="2" applyFont="1" applyFill="1" applyBorder="1" applyAlignment="1">
      <alignment horizontal="center" vertical="center"/>
    </xf>
    <xf numFmtId="0" fontId="6" fillId="0" borderId="0" xfId="3" applyFont="1" applyBorder="1" applyAlignment="1">
      <alignment horizontal="center"/>
    </xf>
    <xf numFmtId="0" fontId="6" fillId="0" borderId="45" xfId="0" applyFont="1" applyBorder="1" applyAlignment="1">
      <alignment horizontal="center"/>
    </xf>
    <xf numFmtId="0" fontId="6" fillId="0" borderId="46" xfId="3" applyFont="1" applyBorder="1" applyAlignment="1">
      <alignment horizontal="left"/>
    </xf>
    <xf numFmtId="0" fontId="6" fillId="0" borderId="46" xfId="3" applyFont="1" applyBorder="1" applyAlignment="1">
      <alignment horizontal="center"/>
    </xf>
    <xf numFmtId="0" fontId="0" fillId="0" borderId="0" xfId="0" applyAlignment="1" applyProtection="1">
      <alignment vertical="center"/>
      <protection hidden="1"/>
    </xf>
    <xf numFmtId="3" fontId="16" fillId="0" borderId="43" xfId="0" applyNumberFormat="1" applyFont="1" applyBorder="1" applyProtection="1">
      <protection hidden="1"/>
    </xf>
    <xf numFmtId="0" fontId="22" fillId="5" borderId="34" xfId="0" applyFont="1" applyFill="1" applyBorder="1" applyAlignment="1" applyProtection="1">
      <alignment horizontal="center" vertical="center"/>
      <protection hidden="1"/>
    </xf>
    <xf numFmtId="0" fontId="22" fillId="5" borderId="19" xfId="0" applyFont="1" applyFill="1" applyBorder="1" applyAlignment="1" applyProtection="1">
      <alignment horizontal="center" vertical="center" wrapText="1"/>
      <protection hidden="1"/>
    </xf>
    <xf numFmtId="10" fontId="0" fillId="0" borderId="48" xfId="0" applyNumberFormat="1" applyBorder="1" applyAlignment="1" applyProtection="1">
      <alignment horizontal="center"/>
      <protection hidden="1"/>
    </xf>
    <xf numFmtId="10" fontId="0" fillId="0" borderId="9" xfId="0" applyNumberFormat="1" applyBorder="1" applyAlignment="1" applyProtection="1">
      <alignment horizontal="center"/>
      <protection hidden="1"/>
    </xf>
    <xf numFmtId="10" fontId="0" fillId="0" borderId="49" xfId="0" applyNumberFormat="1" applyBorder="1" applyAlignment="1" applyProtection="1">
      <alignment horizontal="center"/>
      <protection hidden="1"/>
    </xf>
    <xf numFmtId="0" fontId="22" fillId="5" borderId="15" xfId="0" applyFont="1" applyFill="1" applyBorder="1" applyAlignment="1" applyProtection="1">
      <alignment horizontal="center" vertical="center"/>
      <protection hidden="1"/>
    </xf>
    <xf numFmtId="0" fontId="0" fillId="0" borderId="16" xfId="0" applyBorder="1" applyAlignment="1" applyProtection="1">
      <alignment horizontal="center"/>
      <protection hidden="1"/>
    </xf>
    <xf numFmtId="0" fontId="0" fillId="0" borderId="50" xfId="0" applyBorder="1" applyAlignment="1" applyProtection="1">
      <alignment horizontal="center"/>
      <protection hidden="1"/>
    </xf>
    <xf numFmtId="0" fontId="0" fillId="0" borderId="51" xfId="0" applyBorder="1" applyAlignment="1" applyProtection="1">
      <alignment horizontal="center"/>
      <protection hidden="1"/>
    </xf>
    <xf numFmtId="10" fontId="0" fillId="0" borderId="52" xfId="0" applyNumberFormat="1" applyBorder="1" applyAlignment="1" applyProtection="1">
      <alignment horizontal="center"/>
      <protection hidden="1"/>
    </xf>
    <xf numFmtId="0" fontId="27" fillId="5" borderId="19" xfId="0" applyFont="1" applyFill="1" applyBorder="1" applyProtection="1">
      <protection hidden="1"/>
    </xf>
    <xf numFmtId="165" fontId="25" fillId="6" borderId="47" xfId="0" applyNumberFormat="1" applyFont="1" applyFill="1" applyBorder="1" applyAlignment="1" applyProtection="1">
      <alignment horizontal="center" vertical="center"/>
      <protection hidden="1"/>
    </xf>
    <xf numFmtId="165" fontId="25" fillId="6" borderId="40" xfId="0" applyNumberFormat="1" applyFont="1" applyFill="1" applyBorder="1" applyAlignment="1" applyProtection="1">
      <alignment horizontal="center" vertical="center"/>
      <protection hidden="1"/>
    </xf>
    <xf numFmtId="0" fontId="13" fillId="0" borderId="53" xfId="0" applyFont="1" applyBorder="1" applyProtection="1">
      <protection hidden="1"/>
    </xf>
    <xf numFmtId="3" fontId="16" fillId="0" borderId="17" xfId="0" applyNumberFormat="1" applyFont="1" applyBorder="1" applyAlignment="1" applyProtection="1">
      <alignment horizontal="center"/>
      <protection hidden="1"/>
    </xf>
    <xf numFmtId="3" fontId="16" fillId="0" borderId="18" xfId="0" applyNumberFormat="1" applyFont="1" applyBorder="1" applyAlignment="1" applyProtection="1">
      <alignment horizontal="center"/>
      <protection hidden="1"/>
    </xf>
    <xf numFmtId="3" fontId="16" fillId="0" borderId="20" xfId="0" applyNumberFormat="1" applyFont="1" applyBorder="1" applyAlignment="1" applyProtection="1">
      <alignment horizontal="center"/>
      <protection hidden="1"/>
    </xf>
    <xf numFmtId="3" fontId="16" fillId="0" borderId="30" xfId="0" applyNumberFormat="1" applyFont="1" applyBorder="1" applyAlignment="1" applyProtection="1">
      <alignment horizontal="center"/>
      <protection hidden="1"/>
    </xf>
    <xf numFmtId="9" fontId="15" fillId="6" borderId="19" xfId="0" applyNumberFormat="1" applyFont="1" applyFill="1" applyBorder="1" applyAlignment="1" applyProtection="1">
      <alignment horizontal="center" vertical="center"/>
      <protection hidden="1"/>
    </xf>
    <xf numFmtId="9" fontId="15" fillId="6" borderId="16" xfId="0" applyNumberFormat="1" applyFont="1" applyFill="1" applyBorder="1" applyAlignment="1" applyProtection="1">
      <alignment horizontal="center" vertical="center"/>
      <protection hidden="1"/>
    </xf>
    <xf numFmtId="0" fontId="12" fillId="6" borderId="16" xfId="0" applyFont="1" applyFill="1" applyBorder="1" applyAlignment="1" applyProtection="1">
      <alignment horizontal="center" vertical="center"/>
      <protection hidden="1"/>
    </xf>
    <xf numFmtId="9" fontId="15" fillId="6" borderId="16" xfId="0" applyNumberFormat="1" applyFont="1" applyFill="1" applyBorder="1" applyAlignment="1" applyProtection="1">
      <alignment horizontal="center"/>
      <protection hidden="1"/>
    </xf>
    <xf numFmtId="0" fontId="15" fillId="6" borderId="16" xfId="0" applyFont="1" applyFill="1" applyBorder="1" applyAlignment="1" applyProtection="1">
      <alignment horizontal="center"/>
      <protection hidden="1"/>
    </xf>
    <xf numFmtId="0" fontId="12" fillId="6" borderId="16" xfId="0" applyFont="1" applyFill="1" applyBorder="1" applyAlignment="1" applyProtection="1">
      <alignment horizontal="center"/>
      <protection hidden="1"/>
    </xf>
    <xf numFmtId="1" fontId="16" fillId="6" borderId="19" xfId="0" applyNumberFormat="1" applyFont="1" applyFill="1" applyBorder="1" applyProtection="1">
      <protection hidden="1"/>
    </xf>
    <xf numFmtId="3" fontId="16" fillId="6" borderId="22" xfId="0" applyNumberFormat="1" applyFont="1" applyFill="1" applyBorder="1" applyAlignment="1" applyProtection="1">
      <alignment horizontal="center"/>
      <protection hidden="1"/>
    </xf>
    <xf numFmtId="3" fontId="0" fillId="6" borderId="22" xfId="0" applyNumberFormat="1" applyFill="1" applyBorder="1" applyAlignment="1" applyProtection="1">
      <alignment horizontal="center"/>
      <protection hidden="1"/>
    </xf>
    <xf numFmtId="1" fontId="16" fillId="6" borderId="22" xfId="0" applyNumberFormat="1" applyFont="1" applyFill="1" applyBorder="1" applyProtection="1">
      <protection hidden="1"/>
    </xf>
    <xf numFmtId="3" fontId="16" fillId="6" borderId="19" xfId="0" applyNumberFormat="1" applyFont="1" applyFill="1" applyBorder="1" applyAlignment="1" applyProtection="1">
      <alignment horizontal="center"/>
      <protection hidden="1"/>
    </xf>
    <xf numFmtId="3" fontId="0" fillId="6" borderId="19" xfId="0" applyNumberFormat="1" applyFill="1" applyBorder="1" applyAlignment="1" applyProtection="1">
      <alignment horizontal="center"/>
      <protection hidden="1"/>
    </xf>
    <xf numFmtId="10" fontId="0" fillId="0" borderId="19" xfId="0" applyNumberFormat="1" applyBorder="1" applyAlignment="1" applyProtection="1">
      <alignment horizontal="center"/>
      <protection hidden="1"/>
    </xf>
    <xf numFmtId="0" fontId="19" fillId="0" borderId="0" xfId="0" applyFont="1" applyAlignment="1" applyProtection="1">
      <alignment vertical="center" wrapText="1"/>
      <protection hidden="1"/>
    </xf>
    <xf numFmtId="0" fontId="29" fillId="7" borderId="0" xfId="0" applyFont="1" applyFill="1" applyProtection="1">
      <protection hidden="1"/>
    </xf>
    <xf numFmtId="9" fontId="14" fillId="6" borderId="14" xfId="0" applyNumberFormat="1" applyFont="1" applyFill="1" applyBorder="1" applyAlignment="1" applyProtection="1">
      <alignment horizontal="center"/>
      <protection hidden="1"/>
    </xf>
    <xf numFmtId="9" fontId="14" fillId="6" borderId="15" xfId="0" applyNumberFormat="1" applyFont="1" applyFill="1" applyBorder="1" applyAlignment="1" applyProtection="1">
      <alignment horizontal="center"/>
      <protection hidden="1"/>
    </xf>
    <xf numFmtId="9" fontId="16" fillId="0" borderId="28" xfId="0" applyNumberFormat="1" applyFont="1" applyBorder="1" applyAlignment="1" applyProtection="1">
      <alignment vertical="center" wrapText="1"/>
      <protection hidden="1"/>
    </xf>
    <xf numFmtId="1" fontId="16" fillId="0" borderId="27" xfId="0" applyNumberFormat="1" applyFont="1" applyBorder="1" applyAlignment="1" applyProtection="1">
      <alignment vertical="center" wrapText="1"/>
      <protection hidden="1"/>
    </xf>
    <xf numFmtId="3" fontId="16" fillId="6" borderId="22" xfId="0" applyNumberFormat="1" applyFont="1" applyFill="1" applyBorder="1" applyAlignment="1" applyProtection="1">
      <alignment horizontal="center" vertical="center"/>
      <protection hidden="1"/>
    </xf>
    <xf numFmtId="3" fontId="0" fillId="6" borderId="22" xfId="0" applyNumberFormat="1" applyFill="1" applyBorder="1" applyAlignment="1" applyProtection="1">
      <alignment horizontal="center" vertical="center"/>
      <protection hidden="1"/>
    </xf>
    <xf numFmtId="1" fontId="12" fillId="6" borderId="19" xfId="0" applyNumberFormat="1" applyFont="1" applyFill="1" applyBorder="1" applyProtection="1">
      <protection hidden="1"/>
    </xf>
    <xf numFmtId="3" fontId="16" fillId="0" borderId="35" xfId="0" applyNumberFormat="1" applyFont="1" applyBorder="1" applyAlignment="1" applyProtection="1">
      <alignment horizontal="center" vertical="center"/>
      <protection hidden="1"/>
    </xf>
    <xf numFmtId="3" fontId="16" fillId="0" borderId="37" xfId="0" applyNumberFormat="1" applyFont="1" applyBorder="1" applyAlignment="1" applyProtection="1">
      <alignment horizontal="center" vertical="center"/>
      <protection hidden="1"/>
    </xf>
    <xf numFmtId="3" fontId="16" fillId="0" borderId="54" xfId="0" applyNumberFormat="1" applyFont="1" applyBorder="1" applyAlignment="1" applyProtection="1">
      <alignment horizontal="center" vertical="center"/>
      <protection hidden="1"/>
    </xf>
    <xf numFmtId="3" fontId="16" fillId="0" borderId="50" xfId="0" applyNumberFormat="1" applyFont="1" applyBorder="1" applyAlignment="1" applyProtection="1">
      <alignment horizontal="center" vertical="center"/>
      <protection hidden="1"/>
    </xf>
    <xf numFmtId="3" fontId="16" fillId="0" borderId="30" xfId="0" applyNumberFormat="1" applyFont="1" applyBorder="1" applyAlignment="1" applyProtection="1">
      <alignment horizontal="center" vertical="center"/>
      <protection hidden="1"/>
    </xf>
    <xf numFmtId="3" fontId="16" fillId="0" borderId="18" xfId="0" applyNumberFormat="1" applyFont="1" applyBorder="1" applyAlignment="1" applyProtection="1">
      <alignment horizontal="center" vertical="center"/>
      <protection hidden="1"/>
    </xf>
    <xf numFmtId="0" fontId="30" fillId="6" borderId="34" xfId="4" applyFont="1" applyFill="1" applyBorder="1" applyAlignment="1">
      <alignment horizontal="center" vertical="center" wrapText="1"/>
    </xf>
    <xf numFmtId="0" fontId="30" fillId="6" borderId="19" xfId="4" applyFont="1" applyFill="1" applyBorder="1" applyAlignment="1">
      <alignment horizontal="center" vertical="center" wrapText="1"/>
    </xf>
    <xf numFmtId="0" fontId="30" fillId="6" borderId="13" xfId="4" applyFont="1" applyFill="1" applyBorder="1" applyAlignment="1">
      <alignment horizontal="center" vertical="center" wrapText="1"/>
    </xf>
    <xf numFmtId="3" fontId="16" fillId="0" borderId="36" xfId="0" applyNumberFormat="1" applyFont="1" applyBorder="1" applyAlignment="1" applyProtection="1">
      <alignment horizontal="center" vertical="center"/>
      <protection hidden="1"/>
    </xf>
    <xf numFmtId="3" fontId="16" fillId="0" borderId="39" xfId="0" applyNumberFormat="1" applyFont="1" applyBorder="1" applyAlignment="1" applyProtection="1">
      <alignment horizontal="center" vertical="center"/>
      <protection hidden="1"/>
    </xf>
    <xf numFmtId="0" fontId="19" fillId="0" borderId="0" xfId="0" applyFont="1" applyAlignment="1" applyProtection="1">
      <alignment vertical="top" wrapText="1"/>
      <protection hidden="1"/>
    </xf>
    <xf numFmtId="1" fontId="16" fillId="0" borderId="28" xfId="0" applyNumberFormat="1" applyFont="1" applyBorder="1" applyAlignment="1" applyProtection="1">
      <alignment vertical="center" wrapText="1"/>
      <protection hidden="1"/>
    </xf>
    <xf numFmtId="9" fontId="16" fillId="0" borderId="28" xfId="0" applyNumberFormat="1" applyFont="1" applyBorder="1" applyAlignment="1" applyProtection="1">
      <alignment vertical="center"/>
      <protection hidden="1"/>
    </xf>
    <xf numFmtId="1" fontId="16" fillId="0" borderId="27" xfId="0" applyNumberFormat="1" applyFont="1" applyBorder="1" applyAlignment="1" applyProtection="1">
      <alignment vertical="center"/>
      <protection hidden="1"/>
    </xf>
    <xf numFmtId="1" fontId="16" fillId="0" borderId="29" xfId="0" applyNumberFormat="1" applyFont="1" applyBorder="1" applyAlignment="1" applyProtection="1">
      <alignment vertical="center"/>
      <protection hidden="1"/>
    </xf>
    <xf numFmtId="0" fontId="0" fillId="0" borderId="53" xfId="0" applyBorder="1" applyProtection="1">
      <protection hidden="1"/>
    </xf>
    <xf numFmtId="0" fontId="6" fillId="0" borderId="0" xfId="0" applyFont="1" applyAlignment="1">
      <alignment vertical="top" wrapText="1"/>
    </xf>
    <xf numFmtId="0" fontId="18" fillId="6" borderId="23" xfId="4" applyFont="1" applyFill="1" applyBorder="1" applyAlignment="1">
      <alignment horizontal="left" vertical="center" wrapText="1"/>
    </xf>
    <xf numFmtId="0" fontId="18" fillId="6" borderId="24" xfId="4" applyFont="1" applyFill="1" applyBorder="1" applyAlignment="1">
      <alignment horizontal="left" vertical="center" wrapText="1"/>
    </xf>
    <xf numFmtId="0" fontId="18" fillId="6" borderId="24" xfId="4" applyFont="1" applyFill="1" applyBorder="1" applyAlignment="1">
      <alignment horizontal="center" vertical="center" wrapText="1"/>
    </xf>
    <xf numFmtId="0" fontId="18" fillId="6" borderId="25" xfId="4" applyFont="1" applyFill="1" applyBorder="1" applyAlignment="1">
      <alignment horizontal="center" vertical="center" wrapText="1"/>
    </xf>
    <xf numFmtId="3" fontId="16" fillId="6" borderId="30" xfId="0" applyNumberFormat="1" applyFont="1" applyFill="1" applyBorder="1" applyAlignment="1" applyProtection="1">
      <alignment horizontal="center"/>
      <protection hidden="1"/>
    </xf>
    <xf numFmtId="0" fontId="0" fillId="0" borderId="0" xfId="0" applyAlignment="1" applyProtection="1">
      <alignment vertical="top" wrapText="1"/>
      <protection hidden="1"/>
    </xf>
    <xf numFmtId="0" fontId="0" fillId="0" borderId="47" xfId="0" applyBorder="1" applyAlignment="1" applyProtection="1">
      <alignment vertical="top" wrapText="1"/>
      <protection hidden="1"/>
    </xf>
    <xf numFmtId="3" fontId="16" fillId="6" borderId="19" xfId="0" applyNumberFormat="1" applyFont="1" applyFill="1" applyBorder="1" applyAlignment="1" applyProtection="1">
      <alignment horizontal="center" vertical="center"/>
      <protection hidden="1"/>
    </xf>
    <xf numFmtId="3" fontId="0" fillId="6" borderId="19" xfId="0" applyNumberFormat="1" applyFill="1" applyBorder="1" applyAlignment="1" applyProtection="1">
      <alignment horizontal="center" vertical="center"/>
      <protection hidden="1"/>
    </xf>
    <xf numFmtId="0" fontId="21" fillId="0" borderId="4" xfId="0" applyFont="1" applyBorder="1" applyAlignment="1">
      <alignment horizontal="center" vertical="center"/>
    </xf>
    <xf numFmtId="0" fontId="6" fillId="0" borderId="6" xfId="0" applyFont="1" applyBorder="1" applyAlignment="1">
      <alignment horizontal="center" vertical="center"/>
    </xf>
    <xf numFmtId="0" fontId="11" fillId="6" borderId="4" xfId="0" applyFont="1" applyFill="1" applyBorder="1" applyAlignment="1">
      <alignment vertical="center" wrapText="1"/>
    </xf>
    <xf numFmtId="0" fontId="10" fillId="0" borderId="4" xfId="0" applyFont="1" applyBorder="1" applyAlignment="1">
      <alignment vertical="center" wrapText="1"/>
    </xf>
    <xf numFmtId="9" fontId="15" fillId="6" borderId="14" xfId="0" applyNumberFormat="1" applyFont="1" applyFill="1" applyBorder="1" applyAlignment="1" applyProtection="1">
      <alignment horizontal="center"/>
      <protection hidden="1"/>
    </xf>
    <xf numFmtId="0" fontId="12" fillId="6" borderId="15" xfId="0" applyFont="1" applyFill="1" applyBorder="1" applyAlignment="1" applyProtection="1">
      <alignment horizontal="center"/>
      <protection hidden="1"/>
    </xf>
    <xf numFmtId="3" fontId="16" fillId="0" borderId="43" xfId="0" applyNumberFormat="1" applyFont="1" applyBorder="1" applyAlignment="1" applyProtection="1">
      <alignment horizontal="center"/>
      <protection hidden="1"/>
    </xf>
    <xf numFmtId="9" fontId="15" fillId="6" borderId="19" xfId="0" applyNumberFormat="1" applyFont="1" applyFill="1" applyBorder="1" applyAlignment="1" applyProtection="1">
      <alignment horizontal="center"/>
      <protection hidden="1"/>
    </xf>
    <xf numFmtId="0" fontId="15" fillId="6" borderId="19" xfId="0" applyFont="1" applyFill="1" applyBorder="1" applyAlignment="1" applyProtection="1">
      <alignment horizontal="center"/>
      <protection hidden="1"/>
    </xf>
    <xf numFmtId="3" fontId="16" fillId="0" borderId="43" xfId="0" applyNumberFormat="1" applyFont="1" applyBorder="1" applyAlignment="1" applyProtection="1">
      <alignment horizontal="center" vertical="center"/>
      <protection hidden="1"/>
    </xf>
    <xf numFmtId="3" fontId="16" fillId="0" borderId="60" xfId="0" applyNumberFormat="1" applyFont="1" applyBorder="1" applyAlignment="1" applyProtection="1">
      <alignment horizontal="center" vertical="center"/>
      <protection hidden="1"/>
    </xf>
    <xf numFmtId="3" fontId="16" fillId="6" borderId="34" xfId="0" applyNumberFormat="1" applyFont="1" applyFill="1" applyBorder="1" applyAlignment="1" applyProtection="1">
      <alignment horizontal="center" vertical="center"/>
      <protection hidden="1"/>
    </xf>
    <xf numFmtId="3" fontId="16" fillId="6" borderId="12" xfId="0" applyNumberFormat="1" applyFont="1" applyFill="1" applyBorder="1" applyAlignment="1" applyProtection="1">
      <alignment horizontal="center" vertical="center"/>
      <protection hidden="1"/>
    </xf>
    <xf numFmtId="3" fontId="16" fillId="0" borderId="15" xfId="0" applyNumberFormat="1" applyFont="1" applyBorder="1" applyAlignment="1" applyProtection="1">
      <alignment horizontal="center" vertical="center"/>
      <protection hidden="1"/>
    </xf>
    <xf numFmtId="3" fontId="16" fillId="0" borderId="16" xfId="0" applyNumberFormat="1" applyFont="1" applyBorder="1" applyAlignment="1" applyProtection="1">
      <alignment horizontal="center" vertical="center"/>
      <protection hidden="1"/>
    </xf>
    <xf numFmtId="3" fontId="0" fillId="0" borderId="36" xfId="0" applyNumberFormat="1" applyBorder="1" applyAlignment="1" applyProtection="1">
      <alignment horizontal="center" vertical="center"/>
      <protection hidden="1"/>
    </xf>
    <xf numFmtId="3" fontId="0" fillId="0" borderId="39" xfId="0" applyNumberFormat="1" applyBorder="1" applyAlignment="1" applyProtection="1">
      <alignment horizontal="center" vertical="center"/>
      <protection hidden="1"/>
    </xf>
    <xf numFmtId="3" fontId="0" fillId="0" borderId="55" xfId="0" applyNumberFormat="1" applyBorder="1" applyAlignment="1" applyProtection="1">
      <alignment horizontal="center" vertical="center"/>
      <protection hidden="1"/>
    </xf>
    <xf numFmtId="3" fontId="0" fillId="0" borderId="16" xfId="0" applyNumberFormat="1" applyBorder="1" applyAlignment="1" applyProtection="1">
      <alignment horizontal="center" vertical="center"/>
      <protection hidden="1"/>
    </xf>
    <xf numFmtId="3" fontId="0" fillId="0" borderId="50" xfId="0" applyNumberFormat="1" applyBorder="1" applyAlignment="1" applyProtection="1">
      <alignment horizontal="center" vertical="center"/>
      <protection hidden="1"/>
    </xf>
    <xf numFmtId="3" fontId="16" fillId="0" borderId="35" xfId="0" applyNumberFormat="1" applyFont="1" applyBorder="1" applyAlignment="1" applyProtection="1">
      <alignment horizontal="center"/>
      <protection hidden="1"/>
    </xf>
    <xf numFmtId="3" fontId="16" fillId="0" borderId="37" xfId="0" applyNumberFormat="1" applyFont="1" applyBorder="1" applyAlignment="1" applyProtection="1">
      <alignment horizontal="center"/>
      <protection hidden="1"/>
    </xf>
    <xf numFmtId="3" fontId="16" fillId="0" borderId="51" xfId="0" applyNumberFormat="1" applyFont="1" applyBorder="1" applyAlignment="1" applyProtection="1">
      <alignment horizontal="center"/>
      <protection hidden="1"/>
    </xf>
    <xf numFmtId="3" fontId="0" fillId="6" borderId="42" xfId="0" applyNumberFormat="1" applyFill="1" applyBorder="1" applyAlignment="1" applyProtection="1">
      <alignment horizontal="center"/>
      <protection hidden="1"/>
    </xf>
    <xf numFmtId="0" fontId="15" fillId="6" borderId="15" xfId="0" applyFont="1" applyFill="1" applyBorder="1" applyAlignment="1" applyProtection="1">
      <alignment horizontal="center" vertical="center"/>
      <protection hidden="1"/>
    </xf>
    <xf numFmtId="3" fontId="16" fillId="0" borderId="36" xfId="0" applyNumberFormat="1" applyFont="1" applyBorder="1" applyAlignment="1" applyProtection="1">
      <alignment horizontal="center"/>
      <protection hidden="1"/>
    </xf>
    <xf numFmtId="3" fontId="16" fillId="0" borderId="39" xfId="0" applyNumberFormat="1" applyFont="1" applyBorder="1" applyAlignment="1" applyProtection="1">
      <alignment horizontal="center"/>
      <protection hidden="1"/>
    </xf>
    <xf numFmtId="3" fontId="16" fillId="0" borderId="55" xfId="0" applyNumberFormat="1" applyFont="1" applyBorder="1" applyAlignment="1" applyProtection="1">
      <alignment horizontal="center"/>
      <protection hidden="1"/>
    </xf>
    <xf numFmtId="3" fontId="16" fillId="6" borderId="48" xfId="0" applyNumberFormat="1" applyFont="1" applyFill="1" applyBorder="1" applyAlignment="1" applyProtection="1">
      <alignment horizontal="center"/>
      <protection hidden="1"/>
    </xf>
    <xf numFmtId="3" fontId="16" fillId="6" borderId="34" xfId="0" applyNumberFormat="1" applyFont="1" applyFill="1" applyBorder="1" applyAlignment="1" applyProtection="1">
      <alignment horizontal="center"/>
      <protection hidden="1"/>
    </xf>
    <xf numFmtId="3" fontId="16" fillId="0" borderId="15" xfId="0" applyNumberFormat="1" applyFont="1" applyBorder="1" applyAlignment="1" applyProtection="1">
      <alignment horizontal="center"/>
      <protection hidden="1"/>
    </xf>
    <xf numFmtId="3" fontId="0" fillId="0" borderId="36" xfId="0" applyNumberFormat="1" applyBorder="1" applyAlignment="1" applyProtection="1">
      <alignment horizontal="center"/>
      <protection hidden="1"/>
    </xf>
    <xf numFmtId="3" fontId="0" fillId="0" borderId="39" xfId="0" applyNumberFormat="1" applyBorder="1" applyAlignment="1" applyProtection="1">
      <alignment horizontal="center"/>
      <protection hidden="1"/>
    </xf>
    <xf numFmtId="3" fontId="0" fillId="0" borderId="55" xfId="0" applyNumberFormat="1" applyBorder="1" applyAlignment="1" applyProtection="1">
      <alignment horizontal="center"/>
      <protection hidden="1"/>
    </xf>
    <xf numFmtId="9" fontId="15" fillId="6" borderId="15" xfId="0" applyNumberFormat="1" applyFont="1" applyFill="1" applyBorder="1" applyAlignment="1" applyProtection="1">
      <alignment horizontal="center"/>
      <protection hidden="1"/>
    </xf>
    <xf numFmtId="3" fontId="0" fillId="0" borderId="19" xfId="0" applyNumberFormat="1" applyBorder="1" applyAlignment="1" applyProtection="1">
      <alignment horizontal="center"/>
      <protection hidden="1"/>
    </xf>
    <xf numFmtId="3" fontId="0" fillId="0" borderId="12" xfId="0" applyNumberFormat="1" applyBorder="1" applyAlignment="1" applyProtection="1">
      <alignment horizontal="center"/>
      <protection hidden="1"/>
    </xf>
    <xf numFmtId="0" fontId="16" fillId="0" borderId="19" xfId="0" applyFont="1" applyBorder="1" applyProtection="1">
      <protection hidden="1"/>
    </xf>
    <xf numFmtId="9" fontId="7" fillId="3" borderId="59" xfId="4" applyNumberFormat="1" applyFont="1" applyFill="1" applyBorder="1" applyAlignment="1">
      <alignment horizontal="center" vertical="center"/>
    </xf>
    <xf numFmtId="0" fontId="0" fillId="0" borderId="47" xfId="0" applyBorder="1"/>
    <xf numFmtId="0" fontId="6" fillId="3" borderId="21" xfId="4" applyFont="1" applyFill="1" applyBorder="1" applyAlignment="1">
      <alignment horizontal="center" vertical="center"/>
    </xf>
    <xf numFmtId="0" fontId="6" fillId="0" borderId="0" xfId="0" applyFont="1" applyAlignment="1">
      <alignment vertical="center"/>
    </xf>
    <xf numFmtId="0" fontId="6" fillId="0" borderId="0" xfId="3" applyFont="1" applyBorder="1" applyAlignment="1">
      <alignment horizontal="left" vertical="center"/>
    </xf>
    <xf numFmtId="0" fontId="6" fillId="0" borderId="45" xfId="0" applyFont="1" applyBorder="1" applyAlignment="1">
      <alignment vertical="center"/>
    </xf>
    <xf numFmtId="0" fontId="6" fillId="0" borderId="46" xfId="3" applyFont="1" applyBorder="1" applyAlignment="1">
      <alignment horizontal="left" vertical="center"/>
    </xf>
    <xf numFmtId="0" fontId="6" fillId="0" borderId="0" xfId="0" applyFont="1" applyAlignment="1">
      <alignment horizontal="left" vertical="center"/>
    </xf>
    <xf numFmtId="0" fontId="7" fillId="6" borderId="10" xfId="0" applyFont="1" applyFill="1" applyBorder="1" applyAlignment="1">
      <alignment horizontal="justify" vertical="center" wrapText="1"/>
    </xf>
    <xf numFmtId="0" fontId="6" fillId="0" borderId="56" xfId="0" applyFont="1" applyBorder="1" applyAlignment="1">
      <alignment vertical="center"/>
    </xf>
    <xf numFmtId="0" fontId="6" fillId="0" borderId="56" xfId="0" applyFont="1" applyBorder="1" applyAlignment="1">
      <alignment vertical="center" wrapText="1"/>
    </xf>
    <xf numFmtId="0" fontId="10" fillId="0" borderId="57" xfId="0" applyFont="1" applyBorder="1" applyAlignment="1">
      <alignment vertical="center" wrapText="1"/>
    </xf>
    <xf numFmtId="0" fontId="10" fillId="0" borderId="56" xfId="0" applyFont="1" applyBorder="1" applyAlignment="1">
      <alignment vertical="center" wrapText="1"/>
    </xf>
    <xf numFmtId="0" fontId="10" fillId="0" borderId="58" xfId="0" applyFont="1" applyBorder="1" applyAlignment="1">
      <alignment vertical="center" wrapText="1"/>
    </xf>
    <xf numFmtId="0" fontId="7" fillId="6" borderId="5" xfId="0" applyFont="1" applyFill="1" applyBorder="1" applyAlignment="1">
      <alignment vertical="center" wrapText="1"/>
    </xf>
    <xf numFmtId="9" fontId="34" fillId="6" borderId="5" xfId="4" applyNumberFormat="1" applyFont="1" applyFill="1" applyBorder="1" applyAlignment="1">
      <alignment vertical="center" wrapText="1"/>
    </xf>
    <xf numFmtId="0" fontId="23" fillId="4" borderId="41" xfId="1" applyFont="1" applyFill="1" applyBorder="1" applyAlignment="1">
      <alignment horizontal="center" vertical="center"/>
    </xf>
    <xf numFmtId="0" fontId="0" fillId="0" borderId="13" xfId="0" applyBorder="1"/>
    <xf numFmtId="0" fontId="35" fillId="6" borderId="5" xfId="0" applyFont="1" applyFill="1" applyBorder="1" applyAlignment="1">
      <alignment horizontal="left" vertical="center" wrapText="1"/>
    </xf>
    <xf numFmtId="0" fontId="35" fillId="6" borderId="7" xfId="0" applyFont="1" applyFill="1" applyBorder="1" applyAlignment="1">
      <alignment horizontal="left" vertical="center" wrapText="1"/>
    </xf>
    <xf numFmtId="0" fontId="35" fillId="6" borderId="6" xfId="0" applyFont="1" applyFill="1" applyBorder="1" applyAlignment="1">
      <alignment horizontal="left" vertical="center" wrapText="1"/>
    </xf>
    <xf numFmtId="9" fontId="33" fillId="5" borderId="4" xfId="4" applyNumberFormat="1" applyFont="1" applyFill="1" applyBorder="1" applyAlignment="1">
      <alignment horizontal="left" vertical="center" wrapText="1"/>
    </xf>
    <xf numFmtId="9" fontId="34" fillId="6" borderId="4" xfId="4" applyNumberFormat="1" applyFont="1" applyFill="1" applyBorder="1" applyAlignment="1">
      <alignment horizontal="left" vertical="center" wrapText="1"/>
    </xf>
    <xf numFmtId="9" fontId="34" fillId="6" borderId="5" xfId="4" applyNumberFormat="1" applyFont="1" applyFill="1" applyBorder="1" applyAlignment="1">
      <alignment horizontal="left" vertical="center" wrapText="1"/>
    </xf>
    <xf numFmtId="9" fontId="34" fillId="6" borderId="7" xfId="4" applyNumberFormat="1" applyFont="1" applyFill="1" applyBorder="1" applyAlignment="1">
      <alignment horizontal="left" vertical="center" wrapText="1"/>
    </xf>
    <xf numFmtId="9" fontId="34" fillId="6" borderId="6" xfId="4" applyNumberFormat="1" applyFont="1" applyFill="1" applyBorder="1" applyAlignment="1">
      <alignment horizontal="left" vertical="center" wrapText="1"/>
    </xf>
    <xf numFmtId="9" fontId="33" fillId="5" borderId="5" xfId="4" applyNumberFormat="1" applyFont="1" applyFill="1" applyBorder="1" applyAlignment="1">
      <alignment horizontal="left" vertical="top" wrapText="1"/>
    </xf>
    <xf numFmtId="9" fontId="33" fillId="5" borderId="7" xfId="4" applyNumberFormat="1" applyFont="1" applyFill="1" applyBorder="1" applyAlignment="1">
      <alignment horizontal="left" vertical="top" wrapText="1"/>
    </xf>
    <xf numFmtId="9" fontId="33" fillId="5" borderId="6" xfId="4" applyNumberFormat="1" applyFont="1" applyFill="1" applyBorder="1" applyAlignment="1">
      <alignment horizontal="left" vertical="top" wrapText="1"/>
    </xf>
    <xf numFmtId="9" fontId="33" fillId="5" borderId="5" xfId="4" applyNumberFormat="1" applyFont="1" applyFill="1" applyBorder="1" applyAlignment="1">
      <alignment horizontal="left" vertical="center" wrapText="1"/>
    </xf>
    <xf numFmtId="9" fontId="33" fillId="5" borderId="7" xfId="4" applyNumberFormat="1" applyFont="1" applyFill="1" applyBorder="1" applyAlignment="1">
      <alignment horizontal="left" vertical="center" wrapText="1"/>
    </xf>
    <xf numFmtId="9" fontId="33" fillId="5" borderId="6" xfId="4" applyNumberFormat="1" applyFont="1" applyFill="1" applyBorder="1" applyAlignment="1">
      <alignment horizontal="left" vertical="center" wrapText="1"/>
    </xf>
    <xf numFmtId="0" fontId="8" fillId="5" borderId="8" xfId="3" applyFont="1" applyFill="1" applyBorder="1" applyAlignment="1">
      <alignment horizontal="center" vertical="center"/>
    </xf>
    <xf numFmtId="0" fontId="0" fillId="5" borderId="8" xfId="0" applyFill="1" applyBorder="1"/>
    <xf numFmtId="0" fontId="6" fillId="0" borderId="0" xfId="0" applyFont="1" applyAlignment="1">
      <alignment horizontal="left" vertical="center" wrapText="1"/>
    </xf>
    <xf numFmtId="0" fontId="6" fillId="0" borderId="26" xfId="0" applyFont="1" applyBorder="1" applyAlignment="1">
      <alignment horizontal="left" vertical="center" wrapText="1"/>
    </xf>
    <xf numFmtId="9" fontId="20" fillId="4" borderId="19" xfId="0" applyNumberFormat="1" applyFont="1" applyFill="1" applyBorder="1" applyAlignment="1" applyProtection="1">
      <alignment horizontal="center"/>
      <protection hidden="1"/>
    </xf>
    <xf numFmtId="0" fontId="0" fillId="0" borderId="12" xfId="0" applyBorder="1"/>
    <xf numFmtId="9" fontId="14" fillId="5" borderId="19" xfId="0" applyNumberFormat="1" applyFont="1" applyFill="1" applyBorder="1" applyAlignment="1" applyProtection="1">
      <alignment horizontal="center"/>
      <protection hidden="1"/>
    </xf>
    <xf numFmtId="0" fontId="0" fillId="5" borderId="12" xfId="0" applyFill="1" applyBorder="1"/>
    <xf numFmtId="0" fontId="0" fillId="5" borderId="13" xfId="0" applyFill="1" applyBorder="1"/>
    <xf numFmtId="1" fontId="12" fillId="6" borderId="19" xfId="0" applyNumberFormat="1" applyFont="1" applyFill="1" applyBorder="1" applyAlignment="1" applyProtection="1">
      <alignment horizontal="center"/>
      <protection hidden="1"/>
    </xf>
    <xf numFmtId="0" fontId="0" fillId="6" borderId="12" xfId="0" applyFill="1" applyBorder="1"/>
    <xf numFmtId="0" fontId="0" fillId="6" borderId="13" xfId="0" applyFill="1" applyBorder="1"/>
    <xf numFmtId="0" fontId="0" fillId="5" borderId="47" xfId="0" applyFill="1" applyBorder="1"/>
    <xf numFmtId="0" fontId="24" fillId="5" borderId="14" xfId="0" applyFont="1" applyFill="1" applyBorder="1" applyAlignment="1" applyProtection="1">
      <alignment horizontal="center" vertical="center" wrapText="1"/>
      <protection hidden="1"/>
    </xf>
    <xf numFmtId="0" fontId="24" fillId="5" borderId="47" xfId="0" applyFont="1" applyFill="1" applyBorder="1" applyAlignment="1" applyProtection="1">
      <alignment horizontal="center" vertical="center" wrapText="1"/>
      <protection hidden="1"/>
    </xf>
    <xf numFmtId="0" fontId="24" fillId="5" borderId="15" xfId="0" applyFont="1" applyFill="1" applyBorder="1" applyAlignment="1" applyProtection="1">
      <alignment horizontal="center" vertical="center" wrapText="1"/>
      <protection hidden="1"/>
    </xf>
    <xf numFmtId="0" fontId="24" fillId="5" borderId="38" xfId="0" applyFont="1" applyFill="1" applyBorder="1" applyAlignment="1" applyProtection="1">
      <alignment horizontal="center" vertical="center" wrapText="1"/>
      <protection hidden="1"/>
    </xf>
    <xf numFmtId="0" fontId="24" fillId="5" borderId="40" xfId="0" applyFont="1" applyFill="1" applyBorder="1" applyAlignment="1" applyProtection="1">
      <alignment horizontal="center" vertical="center" wrapText="1"/>
      <protection hidden="1"/>
    </xf>
    <xf numFmtId="0" fontId="24" fillId="5" borderId="42" xfId="0" applyFont="1" applyFill="1" applyBorder="1" applyAlignment="1" applyProtection="1">
      <alignment horizontal="center" vertical="center" wrapText="1"/>
      <protection hidden="1"/>
    </xf>
    <xf numFmtId="165" fontId="25" fillId="6" borderId="14" xfId="0" applyNumberFormat="1" applyFont="1" applyFill="1" applyBorder="1" applyAlignment="1" applyProtection="1">
      <alignment horizontal="center" vertical="center"/>
      <protection hidden="1"/>
    </xf>
    <xf numFmtId="165" fontId="25" fillId="6" borderId="47" xfId="0" applyNumberFormat="1" applyFont="1" applyFill="1" applyBorder="1" applyAlignment="1" applyProtection="1">
      <alignment horizontal="center" vertical="center"/>
      <protection hidden="1"/>
    </xf>
    <xf numFmtId="165" fontId="25" fillId="6" borderId="15" xfId="0" applyNumberFormat="1" applyFont="1" applyFill="1" applyBorder="1" applyAlignment="1" applyProtection="1">
      <alignment horizontal="center" vertical="center"/>
      <protection hidden="1"/>
    </xf>
    <xf numFmtId="165" fontId="25" fillId="6" borderId="38" xfId="0" applyNumberFormat="1" applyFont="1" applyFill="1" applyBorder="1" applyAlignment="1" applyProtection="1">
      <alignment horizontal="center" vertical="center"/>
      <protection hidden="1"/>
    </xf>
    <xf numFmtId="165" fontId="25" fillId="6" borderId="40" xfId="0" applyNumberFormat="1" applyFont="1" applyFill="1" applyBorder="1" applyAlignment="1" applyProtection="1">
      <alignment horizontal="center" vertical="center"/>
      <protection hidden="1"/>
    </xf>
    <xf numFmtId="165" fontId="25" fillId="6" borderId="42" xfId="0" applyNumberFormat="1" applyFont="1" applyFill="1" applyBorder="1" applyAlignment="1" applyProtection="1">
      <alignment horizontal="center" vertical="center"/>
      <protection hidden="1"/>
    </xf>
    <xf numFmtId="0" fontId="26" fillId="5" borderId="34" xfId="0" applyFont="1" applyFill="1" applyBorder="1" applyAlignment="1" applyProtection="1">
      <alignment horizontal="center"/>
      <protection hidden="1"/>
    </xf>
    <xf numFmtId="0" fontId="26" fillId="5" borderId="12" xfId="0" applyFont="1" applyFill="1" applyBorder="1" applyAlignment="1" applyProtection="1">
      <alignment horizontal="center"/>
      <protection hidden="1"/>
    </xf>
    <xf numFmtId="0" fontId="26" fillId="5" borderId="13" xfId="0" applyFont="1" applyFill="1" applyBorder="1" applyAlignment="1" applyProtection="1">
      <alignment horizontal="center"/>
      <protection hidden="1"/>
    </xf>
    <xf numFmtId="0" fontId="29" fillId="5" borderId="34" xfId="0" applyFont="1" applyFill="1" applyBorder="1" applyAlignment="1" applyProtection="1">
      <alignment horizontal="center"/>
      <protection hidden="1"/>
    </xf>
    <xf numFmtId="0" fontId="29" fillId="5" borderId="12" xfId="0" applyFont="1" applyFill="1" applyBorder="1" applyAlignment="1" applyProtection="1">
      <alignment horizontal="center"/>
      <protection hidden="1"/>
    </xf>
    <xf numFmtId="0" fontId="29" fillId="5" borderId="13" xfId="0" applyFont="1" applyFill="1" applyBorder="1" applyAlignment="1" applyProtection="1">
      <alignment horizontal="center"/>
      <protection hidden="1"/>
    </xf>
    <xf numFmtId="0" fontId="19" fillId="0" borderId="14" xfId="0" applyFont="1" applyBorder="1" applyAlignment="1" applyProtection="1">
      <alignment horizontal="left" vertical="center" wrapText="1"/>
      <protection hidden="1"/>
    </xf>
    <xf numFmtId="0" fontId="19" fillId="0" borderId="47" xfId="0" applyFont="1" applyBorder="1" applyAlignment="1" applyProtection="1">
      <alignment horizontal="left" vertical="center" wrapText="1"/>
      <protection hidden="1"/>
    </xf>
    <xf numFmtId="0" fontId="19" fillId="0" borderId="15" xfId="0" applyFont="1" applyBorder="1" applyAlignment="1" applyProtection="1">
      <alignment horizontal="left" vertical="center" wrapText="1"/>
      <protection hidden="1"/>
    </xf>
    <xf numFmtId="0" fontId="19" fillId="0" borderId="32" xfId="0" applyFont="1" applyBorder="1" applyAlignment="1" applyProtection="1">
      <alignment horizontal="left" vertical="center" wrapText="1"/>
      <protection hidden="1"/>
    </xf>
    <xf numFmtId="0" fontId="19" fillId="0" borderId="0" xfId="0" applyFont="1" applyAlignment="1" applyProtection="1">
      <alignment horizontal="left" vertical="center" wrapText="1"/>
      <protection hidden="1"/>
    </xf>
    <xf numFmtId="0" fontId="19" fillId="0" borderId="53" xfId="0" applyFont="1" applyBorder="1" applyAlignment="1" applyProtection="1">
      <alignment horizontal="left" vertical="center" wrapText="1"/>
      <protection hidden="1"/>
    </xf>
    <xf numFmtId="0" fontId="19" fillId="0" borderId="38" xfId="0" applyFont="1" applyBorder="1" applyAlignment="1" applyProtection="1">
      <alignment horizontal="left" vertical="center" wrapText="1"/>
      <protection hidden="1"/>
    </xf>
    <xf numFmtId="0" fontId="19" fillId="0" borderId="40" xfId="0" applyFont="1" applyBorder="1" applyAlignment="1" applyProtection="1">
      <alignment horizontal="left" vertical="center" wrapText="1"/>
      <protection hidden="1"/>
    </xf>
    <xf numFmtId="0" fontId="19" fillId="0" borderId="42" xfId="0" applyFont="1" applyBorder="1" applyAlignment="1" applyProtection="1">
      <alignment horizontal="left" vertical="center" wrapText="1"/>
      <protection hidden="1"/>
    </xf>
    <xf numFmtId="0" fontId="6" fillId="0" borderId="38" xfId="0" applyFont="1" applyBorder="1" applyAlignment="1">
      <alignment horizontal="left" vertical="top" wrapText="1"/>
    </xf>
    <xf numFmtId="0" fontId="6" fillId="0" borderId="40" xfId="0" applyFont="1" applyBorder="1" applyAlignment="1">
      <alignment horizontal="left" vertical="top" wrapText="1"/>
    </xf>
    <xf numFmtId="0" fontId="6" fillId="0" borderId="42" xfId="0" applyFont="1" applyBorder="1" applyAlignment="1">
      <alignment horizontal="left" vertical="top" wrapText="1"/>
    </xf>
    <xf numFmtId="165" fontId="25" fillId="6" borderId="32" xfId="0" applyNumberFormat="1" applyFont="1" applyFill="1" applyBorder="1" applyAlignment="1" applyProtection="1">
      <alignment horizontal="center" vertical="center"/>
      <protection hidden="1"/>
    </xf>
    <xf numFmtId="165" fontId="25" fillId="6" borderId="0" xfId="0" applyNumberFormat="1" applyFont="1" applyFill="1" applyAlignment="1" applyProtection="1">
      <alignment horizontal="center" vertical="center"/>
      <protection hidden="1"/>
    </xf>
    <xf numFmtId="0" fontId="31" fillId="5" borderId="14" xfId="0" applyFont="1" applyFill="1" applyBorder="1" applyAlignment="1" applyProtection="1">
      <alignment horizontal="center" vertical="center"/>
      <protection hidden="1"/>
    </xf>
    <xf numFmtId="0" fontId="31" fillId="5" borderId="47" xfId="0" applyFont="1" applyFill="1" applyBorder="1" applyAlignment="1" applyProtection="1">
      <alignment horizontal="center" vertical="center"/>
      <protection hidden="1"/>
    </xf>
    <xf numFmtId="0" fontId="31" fillId="5" borderId="15" xfId="0" applyFont="1" applyFill="1" applyBorder="1" applyAlignment="1" applyProtection="1">
      <alignment horizontal="center" vertical="center"/>
      <protection hidden="1"/>
    </xf>
    <xf numFmtId="0" fontId="31" fillId="5" borderId="32" xfId="0" applyFont="1" applyFill="1" applyBorder="1" applyAlignment="1" applyProtection="1">
      <alignment horizontal="center" vertical="center"/>
      <protection hidden="1"/>
    </xf>
    <xf numFmtId="0" fontId="31" fillId="5" borderId="0" xfId="0" applyFont="1" applyFill="1" applyAlignment="1" applyProtection="1">
      <alignment horizontal="center" vertical="center"/>
      <protection hidden="1"/>
    </xf>
    <xf numFmtId="0" fontId="31" fillId="5" borderId="53" xfId="0" applyFont="1" applyFill="1" applyBorder="1" applyAlignment="1" applyProtection="1">
      <alignment horizontal="center" vertical="center"/>
      <protection hidden="1"/>
    </xf>
    <xf numFmtId="0" fontId="31" fillId="5" borderId="38" xfId="0" applyFont="1" applyFill="1" applyBorder="1" applyAlignment="1" applyProtection="1">
      <alignment horizontal="center" vertical="center"/>
      <protection hidden="1"/>
    </xf>
    <xf numFmtId="0" fontId="31" fillId="5" borderId="40" xfId="0" applyFont="1" applyFill="1" applyBorder="1" applyAlignment="1" applyProtection="1">
      <alignment horizontal="center" vertical="center"/>
      <protection hidden="1"/>
    </xf>
    <xf numFmtId="0" fontId="31" fillId="5" borderId="42" xfId="0" applyFont="1" applyFill="1" applyBorder="1" applyAlignment="1" applyProtection="1">
      <alignment horizontal="center" vertical="center"/>
      <protection hidden="1"/>
    </xf>
    <xf numFmtId="0" fontId="6" fillId="0" borderId="32" xfId="0" applyFont="1" applyBorder="1" applyAlignment="1" applyProtection="1">
      <alignment horizontal="left" vertical="top" wrapText="1"/>
      <protection hidden="1"/>
    </xf>
    <xf numFmtId="0" fontId="6" fillId="0" borderId="0" xfId="0" applyFont="1" applyAlignment="1" applyProtection="1">
      <alignment horizontal="left" vertical="top" wrapText="1"/>
      <protection hidden="1"/>
    </xf>
    <xf numFmtId="0" fontId="6" fillId="0" borderId="53" xfId="0" applyFont="1" applyBorder="1" applyAlignment="1" applyProtection="1">
      <alignment horizontal="left" vertical="top" wrapText="1"/>
      <protection hidden="1"/>
    </xf>
    <xf numFmtId="0" fontId="32" fillId="0" borderId="32" xfId="0" applyFont="1" applyBorder="1" applyAlignment="1">
      <alignment horizontal="left" wrapText="1"/>
    </xf>
    <xf numFmtId="0" fontId="32" fillId="0" borderId="0" xfId="0" applyFont="1" applyAlignment="1">
      <alignment horizontal="left" wrapText="1"/>
    </xf>
    <xf numFmtId="0" fontId="32" fillId="0" borderId="53" xfId="0" applyFont="1" applyBorder="1" applyAlignment="1">
      <alignment horizontal="left" wrapText="1"/>
    </xf>
    <xf numFmtId="0" fontId="32" fillId="0" borderId="38" xfId="0" applyFont="1" applyBorder="1" applyAlignment="1">
      <alignment horizontal="left" wrapText="1"/>
    </xf>
    <xf numFmtId="0" fontId="32" fillId="0" borderId="40" xfId="0" applyFont="1" applyBorder="1" applyAlignment="1">
      <alignment horizontal="left" wrapText="1"/>
    </xf>
    <xf numFmtId="0" fontId="32" fillId="0" borderId="42" xfId="0" applyFont="1" applyBorder="1" applyAlignment="1">
      <alignment horizontal="left" wrapText="1"/>
    </xf>
    <xf numFmtId="0" fontId="32" fillId="0" borderId="14" xfId="0" applyFont="1" applyBorder="1" applyAlignment="1" applyProtection="1">
      <alignment horizontal="left"/>
      <protection hidden="1"/>
    </xf>
    <xf numFmtId="0" fontId="32" fillId="0" borderId="47" xfId="0" applyFont="1" applyBorder="1" applyAlignment="1" applyProtection="1">
      <alignment horizontal="left"/>
      <protection hidden="1"/>
    </xf>
    <xf numFmtId="0" fontId="32" fillId="0" borderId="15" xfId="0" applyFont="1" applyBorder="1" applyAlignment="1" applyProtection="1">
      <alignment horizontal="left"/>
      <protection hidden="1"/>
    </xf>
    <xf numFmtId="0" fontId="28" fillId="5" borderId="47" xfId="0" applyFont="1" applyFill="1" applyBorder="1" applyAlignment="1" applyProtection="1">
      <alignment horizontal="center" vertical="center"/>
      <protection hidden="1"/>
    </xf>
    <xf numFmtId="0" fontId="28" fillId="5" borderId="15" xfId="0" applyFont="1" applyFill="1" applyBorder="1" applyAlignment="1" applyProtection="1">
      <alignment horizontal="center" vertical="center"/>
      <protection hidden="1"/>
    </xf>
    <xf numFmtId="0" fontId="28" fillId="5" borderId="32" xfId="0" applyFont="1" applyFill="1" applyBorder="1" applyAlignment="1" applyProtection="1">
      <alignment horizontal="center" vertical="center"/>
      <protection hidden="1"/>
    </xf>
    <xf numFmtId="0" fontId="28" fillId="5" borderId="0" xfId="0" applyFont="1" applyFill="1" applyAlignment="1" applyProtection="1">
      <alignment horizontal="center" vertical="center"/>
      <protection hidden="1"/>
    </xf>
    <xf numFmtId="0" fontId="28" fillId="5" borderId="53" xfId="0" applyFont="1" applyFill="1" applyBorder="1" applyAlignment="1" applyProtection="1">
      <alignment horizontal="center" vertical="center"/>
      <protection hidden="1"/>
    </xf>
    <xf numFmtId="0" fontId="28" fillId="5" borderId="38" xfId="0" applyFont="1" applyFill="1" applyBorder="1" applyAlignment="1" applyProtection="1">
      <alignment horizontal="center" vertical="center"/>
      <protection hidden="1"/>
    </xf>
    <xf numFmtId="0" fontId="28" fillId="5" borderId="40" xfId="0" applyFont="1" applyFill="1" applyBorder="1" applyAlignment="1" applyProtection="1">
      <alignment horizontal="center" vertical="center"/>
      <protection hidden="1"/>
    </xf>
    <xf numFmtId="0" fontId="28" fillId="5" borderId="42" xfId="0" applyFont="1" applyFill="1" applyBorder="1" applyAlignment="1" applyProtection="1">
      <alignment horizontal="center" vertical="center"/>
      <protection hidden="1"/>
    </xf>
    <xf numFmtId="0" fontId="32" fillId="0" borderId="32" xfId="0" applyFont="1" applyBorder="1" applyAlignment="1" applyProtection="1">
      <alignment horizontal="left" vertical="top" wrapText="1"/>
      <protection hidden="1"/>
    </xf>
    <xf numFmtId="0" fontId="32" fillId="0" borderId="0" xfId="0" applyFont="1" applyAlignment="1" applyProtection="1">
      <alignment horizontal="left" vertical="top" wrapText="1"/>
      <protection hidden="1"/>
    </xf>
    <xf numFmtId="0" fontId="32" fillId="0" borderId="53" xfId="0" applyFont="1" applyBorder="1" applyAlignment="1" applyProtection="1">
      <alignment horizontal="left" vertical="top" wrapText="1"/>
      <protection hidden="1"/>
    </xf>
    <xf numFmtId="0" fontId="6" fillId="0" borderId="14" xfId="0" applyFont="1" applyBorder="1" applyAlignment="1" applyProtection="1">
      <alignment horizontal="left"/>
      <protection hidden="1"/>
    </xf>
    <xf numFmtId="0" fontId="6" fillId="0" borderId="47" xfId="0" applyFont="1" applyBorder="1" applyAlignment="1" applyProtection="1">
      <alignment horizontal="left"/>
      <protection hidden="1"/>
    </xf>
    <xf numFmtId="0" fontId="6" fillId="0" borderId="15" xfId="0" applyFont="1" applyBorder="1" applyAlignment="1" applyProtection="1">
      <alignment horizontal="left"/>
      <protection hidden="1"/>
    </xf>
    <xf numFmtId="0" fontId="6" fillId="0" borderId="38" xfId="0" applyFont="1" applyBorder="1" applyAlignment="1" applyProtection="1">
      <alignment horizontal="left" vertical="top" wrapText="1"/>
      <protection hidden="1"/>
    </xf>
    <xf numFmtId="0" fontId="6" fillId="0" borderId="40" xfId="0" applyFont="1" applyBorder="1" applyAlignment="1" applyProtection="1">
      <alignment horizontal="left" vertical="top" wrapText="1"/>
      <protection hidden="1"/>
    </xf>
    <xf numFmtId="0" fontId="6" fillId="0" borderId="42" xfId="0" applyFont="1" applyBorder="1" applyAlignment="1" applyProtection="1">
      <alignment horizontal="left" vertical="top" wrapText="1"/>
      <protection hidden="1"/>
    </xf>
    <xf numFmtId="0" fontId="9" fillId="5" borderId="14" xfId="0" applyFont="1" applyFill="1" applyBorder="1" applyAlignment="1" applyProtection="1">
      <alignment horizontal="center" vertical="center"/>
      <protection hidden="1"/>
    </xf>
    <xf numFmtId="0" fontId="9" fillId="5" borderId="47" xfId="0" applyFont="1" applyFill="1" applyBorder="1" applyAlignment="1" applyProtection="1">
      <alignment horizontal="center" vertical="center"/>
      <protection hidden="1"/>
    </xf>
    <xf numFmtId="0" fontId="9" fillId="5" borderId="15" xfId="0" applyFont="1" applyFill="1" applyBorder="1" applyAlignment="1" applyProtection="1">
      <alignment horizontal="center" vertical="center"/>
      <protection hidden="1"/>
    </xf>
    <xf numFmtId="0" fontId="9" fillId="5" borderId="32" xfId="0" applyFont="1" applyFill="1" applyBorder="1" applyAlignment="1" applyProtection="1">
      <alignment horizontal="center" vertical="center"/>
      <protection hidden="1"/>
    </xf>
    <xf numFmtId="0" fontId="9" fillId="5" borderId="0" xfId="0" applyFont="1" applyFill="1" applyAlignment="1" applyProtection="1">
      <alignment horizontal="center" vertical="center"/>
      <protection hidden="1"/>
    </xf>
    <xf numFmtId="0" fontId="9" fillId="5" borderId="53" xfId="0" applyFont="1" applyFill="1" applyBorder="1" applyAlignment="1" applyProtection="1">
      <alignment horizontal="center" vertical="center"/>
      <protection hidden="1"/>
    </xf>
    <xf numFmtId="0" fontId="9" fillId="5" borderId="38" xfId="0" applyFont="1" applyFill="1" applyBorder="1" applyAlignment="1" applyProtection="1">
      <alignment horizontal="center" vertical="center"/>
      <protection hidden="1"/>
    </xf>
    <xf numFmtId="0" fontId="9" fillId="5" borderId="40" xfId="0" applyFont="1" applyFill="1" applyBorder="1" applyAlignment="1" applyProtection="1">
      <alignment horizontal="center" vertical="center"/>
      <protection hidden="1"/>
    </xf>
    <xf numFmtId="0" fontId="9" fillId="5" borderId="42" xfId="0" applyFont="1" applyFill="1" applyBorder="1" applyAlignment="1" applyProtection="1">
      <alignment horizontal="center" vertical="center"/>
      <protection hidden="1"/>
    </xf>
    <xf numFmtId="0" fontId="6" fillId="0" borderId="14" xfId="0" applyFont="1" applyBorder="1" applyAlignment="1" applyProtection="1">
      <alignment horizontal="left" vertical="top" wrapText="1"/>
      <protection hidden="1"/>
    </xf>
    <xf numFmtId="0" fontId="6" fillId="0" borderId="47" xfId="0" applyFont="1" applyBorder="1" applyAlignment="1" applyProtection="1">
      <alignment horizontal="left" vertical="top" wrapText="1"/>
      <protection hidden="1"/>
    </xf>
    <xf numFmtId="0" fontId="6" fillId="0" borderId="15" xfId="0" applyFont="1" applyBorder="1" applyAlignment="1" applyProtection="1">
      <alignment horizontal="left" vertical="top" wrapText="1"/>
      <protection hidden="1"/>
    </xf>
    <xf numFmtId="0" fontId="6" fillId="0" borderId="14" xfId="0" applyFont="1" applyBorder="1" applyAlignment="1" applyProtection="1">
      <alignment horizontal="left" vertical="center" wrapText="1"/>
      <protection hidden="1"/>
    </xf>
    <xf numFmtId="0" fontId="6" fillId="0" borderId="47" xfId="0" applyFont="1" applyBorder="1" applyAlignment="1" applyProtection="1">
      <alignment horizontal="left" vertical="center" wrapText="1"/>
      <protection hidden="1"/>
    </xf>
    <xf numFmtId="0" fontId="6" fillId="0" borderId="15" xfId="0" applyFont="1" applyBorder="1" applyAlignment="1" applyProtection="1">
      <alignment horizontal="left" vertical="center" wrapText="1"/>
      <protection hidden="1"/>
    </xf>
    <xf numFmtId="0" fontId="6" fillId="0" borderId="32" xfId="0" applyFont="1" applyBorder="1" applyAlignment="1" applyProtection="1">
      <alignment horizontal="left" vertical="center" wrapText="1"/>
      <protection hidden="1"/>
    </xf>
    <xf numFmtId="0" fontId="6" fillId="0" borderId="0" xfId="0" applyFont="1" applyAlignment="1" applyProtection="1">
      <alignment horizontal="left" vertical="center" wrapText="1"/>
      <protection hidden="1"/>
    </xf>
    <xf numFmtId="0" fontId="6" fillId="0" borderId="53" xfId="0" applyFont="1" applyBorder="1" applyAlignment="1" applyProtection="1">
      <alignment horizontal="left" vertical="center" wrapText="1"/>
      <protection hidden="1"/>
    </xf>
    <xf numFmtId="0" fontId="6" fillId="0" borderId="38" xfId="0" applyFont="1" applyBorder="1" applyAlignment="1" applyProtection="1">
      <alignment horizontal="left" vertical="center" wrapText="1"/>
      <protection hidden="1"/>
    </xf>
    <xf numFmtId="0" fontId="6" fillId="0" borderId="40" xfId="0" applyFont="1" applyBorder="1" applyAlignment="1" applyProtection="1">
      <alignment horizontal="left" vertical="center" wrapText="1"/>
      <protection hidden="1"/>
    </xf>
    <xf numFmtId="0" fontId="6" fillId="0" borderId="42" xfId="0" applyFont="1" applyBorder="1" applyAlignment="1" applyProtection="1">
      <alignment horizontal="left" vertical="center" wrapText="1"/>
      <protection hidden="1"/>
    </xf>
  </cellXfs>
  <cellStyles count="6">
    <cellStyle name="20% - Énfasis1" xfId="4" builtinId="30"/>
    <cellStyle name="Celda vinculada" xfId="3" builtinId="24"/>
    <cellStyle name="Encabezado 1" xfId="1" builtinId="16"/>
    <cellStyle name="Normal" xfId="0" builtinId="0"/>
    <cellStyle name="Porcentaje" xfId="5" builtinId="5"/>
    <cellStyle name="Título 2" xfId="2" builtinId="17"/>
  </cellStyles>
  <dxfs count="5">
    <dxf>
      <font>
        <color auto="1"/>
      </font>
      <fill>
        <patternFill>
          <bgColor rgb="FFFF0000"/>
        </patternFill>
      </fill>
    </dxf>
    <dxf>
      <fill>
        <patternFill>
          <bgColor rgb="FFFFC000"/>
        </patternFill>
      </fill>
    </dxf>
    <dxf>
      <font>
        <color auto="1"/>
      </font>
      <fill>
        <patternFill>
          <bgColor rgb="FFFFFF00"/>
        </patternFill>
      </fill>
    </dxf>
    <dxf>
      <fill>
        <patternFill>
          <bgColor rgb="FF0070C0"/>
        </patternFill>
      </fill>
    </dxf>
    <dxf>
      <fill>
        <patternFill>
          <bgColor rgb="FF00B050"/>
        </patternFill>
      </fill>
    </dxf>
  </dxfs>
  <tableStyles count="0" defaultTableStyle="TableStyleMedium2" defaultPivotStyle="PivotStyleLight16"/>
  <colors>
    <mruColors>
      <color rgb="FFEEEEEE"/>
      <color rgb="FFA0A0A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a:lstStyle/>
          <a:p>
            <a:pPr>
              <a:defRPr/>
            </a:pPr>
            <a:r>
              <a:rPr lang="en-US"/>
              <a:t>% DE IMPLEMENTACIÓN POR CLÁUSULA</a:t>
            </a:r>
          </a:p>
        </c:rich>
      </c:tx>
      <c:overlay val="0"/>
    </c:title>
    <c:autoTitleDeleted val="0"/>
    <c:plotArea>
      <c:layout>
        <c:manualLayout>
          <c:layoutTarget val="inner"/>
          <c:xMode val="edge"/>
          <c:yMode val="edge"/>
          <c:x val="0.1949752685368073"/>
          <c:y val="0.13989575049071989"/>
          <c:w val="0.6787597304348193"/>
          <c:h val="0.45246031466277919"/>
        </c:manualLayout>
      </c:layout>
      <c:barChart>
        <c:barDir val="col"/>
        <c:grouping val="clustered"/>
        <c:varyColors val="0"/>
        <c:ser>
          <c:idx val="0"/>
          <c:order val="0"/>
          <c:tx>
            <c:v>CLÁUSULAS</c:v>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'ANÁLISIS DATOS GLOBAL'!$L$9:$L$14</c:f>
              <c:strCache>
                <c:ptCount val="6"/>
                <c:pt idx="0">
                  <c:v>4. CONTEXTO DE LA ORGANIZACIÓN</c:v>
                </c:pt>
                <c:pt idx="1">
                  <c:v>5. LIDERAZGO</c:v>
                </c:pt>
                <c:pt idx="2">
                  <c:v>6. PLANIFICACIÓN</c:v>
                </c:pt>
                <c:pt idx="3">
                  <c:v>7. SOPORTE</c:v>
                </c:pt>
                <c:pt idx="4">
                  <c:v>9. EVALUACIÓN DEL DESEMPEÑO</c:v>
                </c:pt>
                <c:pt idx="5">
                  <c:v>10. MEJORA</c:v>
                </c:pt>
              </c:strCache>
            </c:strRef>
          </c:cat>
          <c:val>
            <c:numRef>
              <c:f>'ANÁLISIS DATOS GLOBAL'!$M$9:$M$14</c:f>
              <c:numCache>
                <c:formatCode>0.00%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8686-4185-81E4-B877BDE35FF0}"/>
            </c:ext>
          </c:extLst>
        </c:ser>
        <c:dLbls>
          <c:showLegendKey val="0"/>
          <c:showVal val="0"/>
          <c:showCatName val="0"/>
          <c:showSerName val="0"/>
          <c:showPercent val="0"/>
          <c:showBubbleSize val="0"/>
        </c:dLbls>
        <c:gapWidth val="150"/>
        <c:axId val="156508672"/>
        <c:axId val="46430976"/>
      </c:barChart>
      <c:catAx>
        <c:axId val="156508672"/>
        <c:scaling>
          <c:orientation val="minMax"/>
        </c:scaling>
        <c:delete val="0"/>
        <c:axPos val="b"/>
        <c:numFmt formatCode="General" sourceLinked="0"/>
        <c:majorTickMark val="out"/>
        <c:minorTickMark val="none"/>
        <c:tickLblPos val="nextTo"/>
        <c:crossAx val="46430976"/>
        <c:crosses val="autoZero"/>
        <c:auto val="1"/>
        <c:lblAlgn val="ctr"/>
        <c:lblOffset val="100"/>
        <c:noMultiLvlLbl val="0"/>
      </c:catAx>
      <c:valAx>
        <c:axId val="46430976"/>
        <c:scaling>
          <c:orientation val="minMax"/>
        </c:scaling>
        <c:delete val="0"/>
        <c:axPos val="l"/>
        <c:majorGridlines/>
        <c:numFmt formatCode="0.00%" sourceLinked="1"/>
        <c:majorTickMark val="out"/>
        <c:minorTickMark val="none"/>
        <c:tickLblPos val="nextTo"/>
        <c:crossAx val="156508672"/>
        <c:crosses val="autoZero"/>
        <c:crossBetween val="between"/>
      </c:valAx>
    </c:plotArea>
    <c:legend>
      <c:legendPos val="r"/>
      <c:layout>
        <c:manualLayout>
          <c:xMode val="edge"/>
          <c:yMode val="edge"/>
          <c:x val="0.87890090609963312"/>
          <c:y val="0.39480262284314871"/>
          <c:w val="0.1099950519623681"/>
          <c:h val="6.2243855583131787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Porcentaje de Implementación del SGSI</a:t>
            </a:r>
          </a:p>
        </c:rich>
      </c:tx>
      <c:overlay val="0"/>
    </c:title>
    <c:autoTitleDeleted val="0"/>
    <c:plotArea>
      <c:layout/>
      <c:barChart>
        <c:barDir val="col"/>
        <c:grouping val="percentStacked"/>
        <c:varyColors val="0"/>
        <c:ser>
          <c:idx val="3"/>
          <c:order val="0"/>
          <c:tx>
            <c:strRef>
              <c:f>'ANÁLISIS DATOS GLOBAL'!$L$15</c:f>
              <c:strCache>
                <c:ptCount val="1"/>
                <c:pt idx="0">
                  <c:v>PORCENTAJE TOTAL DE IMPLEMENTACIÓN SGSI</c:v>
                </c:pt>
              </c:strCache>
            </c:strRef>
          </c:tx>
          <c:invertIfNegative val="0"/>
          <c:dLbls>
            <c:spPr>
              <a:noFill/>
              <a:ln>
                <a:noFill/>
              </a:ln>
              <a:effectLst/>
            </c:spPr>
            <c:txPr>
              <a:bodyPr/>
              <a:lstStyle/>
              <a:p>
                <a:pPr>
                  <a:defRPr b="1">
                    <a:solidFill>
                      <a:schemeClr val="bg1"/>
                    </a:solidFill>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'ANÁLISIS DATOS GLOBAL'!$M$15</c:f>
              <c:numCache>
                <c:formatCode>0.00%</c:formatCode>
                <c:ptCount val="1"/>
                <c:pt idx="0">
                  <c:v>0</c:v>
                </c:pt>
              </c:numCache>
            </c:numRef>
          </c:val>
          <c:extLst>
            <c:ext xmlns:c16="http://schemas.microsoft.com/office/drawing/2014/chart" uri="{C3380CC4-5D6E-409C-BE32-E72D297353CC}">
              <c16:uniqueId val="{00000000-382C-49A4-B1E8-83D0F72596D8}"/>
            </c:ext>
          </c:extLst>
        </c:ser>
        <c:ser>
          <c:idx val="2"/>
          <c:order val="1"/>
          <c:tx>
            <c:strRef>
              <c:f>'ANÁLISIS DATOS GLOBAL'!$L$16</c:f>
              <c:strCache>
                <c:ptCount val="1"/>
                <c:pt idx="0">
                  <c:v>BRECHA</c:v>
                </c:pt>
              </c:strCache>
            </c:strRef>
          </c:tx>
          <c:invertIfNegative val="0"/>
          <c:dLbls>
            <c:spPr>
              <a:noFill/>
              <a:ln>
                <a:noFill/>
              </a:ln>
              <a:effectLst/>
            </c:spPr>
            <c:txPr>
              <a:bodyPr/>
              <a:lstStyle/>
              <a:p>
                <a:pPr>
                  <a:defRPr b="1">
                    <a:solidFill>
                      <a:schemeClr val="bg1"/>
                    </a:solidFill>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'ANÁLISIS DATOS GLOBAL'!$M$16</c:f>
              <c:numCache>
                <c:formatCode>0.00%</c:formatCode>
                <c:ptCount val="1"/>
                <c:pt idx="0">
                  <c:v>1</c:v>
                </c:pt>
              </c:numCache>
            </c:numRef>
          </c:val>
          <c:extLst>
            <c:ext xmlns:c16="http://schemas.microsoft.com/office/drawing/2014/chart" uri="{C3380CC4-5D6E-409C-BE32-E72D297353CC}">
              <c16:uniqueId val="{00000001-382C-49A4-B1E8-83D0F72596D8}"/>
            </c:ext>
          </c:extLst>
        </c:ser>
        <c:dLbls>
          <c:showLegendKey val="0"/>
          <c:showVal val="0"/>
          <c:showCatName val="0"/>
          <c:showSerName val="0"/>
          <c:showPercent val="0"/>
          <c:showBubbleSize val="0"/>
        </c:dLbls>
        <c:gapWidth val="150"/>
        <c:overlap val="100"/>
        <c:axId val="156509184"/>
        <c:axId val="156639808"/>
      </c:barChart>
      <c:catAx>
        <c:axId val="156509184"/>
        <c:scaling>
          <c:orientation val="minMax"/>
        </c:scaling>
        <c:delete val="0"/>
        <c:axPos val="b"/>
        <c:numFmt formatCode="General" sourceLinked="1"/>
        <c:majorTickMark val="out"/>
        <c:minorTickMark val="none"/>
        <c:tickLblPos val="nextTo"/>
        <c:crossAx val="156639808"/>
        <c:crosses val="autoZero"/>
        <c:auto val="1"/>
        <c:lblAlgn val="ctr"/>
        <c:lblOffset val="100"/>
        <c:noMultiLvlLbl val="0"/>
      </c:catAx>
      <c:valAx>
        <c:axId val="156639808"/>
        <c:scaling>
          <c:orientation val="minMax"/>
        </c:scaling>
        <c:delete val="0"/>
        <c:axPos val="l"/>
        <c:majorGridlines/>
        <c:numFmt formatCode="0%" sourceLinked="1"/>
        <c:majorTickMark val="out"/>
        <c:minorTickMark val="none"/>
        <c:tickLblPos val="nextTo"/>
        <c:crossAx val="156509184"/>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latin typeface="Times New Roman" panose="02020603050405020304" pitchFamily="18" charset="0"/>
                <a:cs typeface="Times New Roman" panose="02020603050405020304" pitchFamily="18" charset="0"/>
              </a:defRPr>
            </a:pPr>
            <a:r>
              <a:rPr lang="en-US" sz="1400">
                <a:latin typeface="Times New Roman" panose="02020603050405020304" pitchFamily="18" charset="0"/>
                <a:cs typeface="Times New Roman" panose="02020603050405020304" pitchFamily="18" charset="0"/>
              </a:rPr>
              <a:t>Porcentaje de representatividad - Requisitos de Contexto de la organización</a:t>
            </a:r>
          </a:p>
        </c:rich>
      </c:tx>
      <c:overlay val="0"/>
    </c:title>
    <c:autoTitleDeleted val="0"/>
    <c:plotArea>
      <c:layout/>
      <c:pieChart>
        <c:varyColors val="1"/>
        <c:ser>
          <c:idx val="0"/>
          <c:order val="0"/>
          <c:spPr>
            <a:ln>
              <a:prstDash val="solid"/>
            </a:ln>
          </c:spPr>
          <c:dLbls>
            <c:spPr>
              <a:noFill/>
              <a:ln>
                <a:noFill/>
                <a:prstDash val="solid"/>
              </a:ln>
            </c:spPr>
            <c:showLegendKey val="0"/>
            <c:showVal val="0"/>
            <c:showCatName val="0"/>
            <c:showSerName val="0"/>
            <c:showPercent val="1"/>
            <c:showBubbleSize val="0"/>
            <c:showLeaderLines val="1"/>
            <c:extLst>
              <c:ext xmlns:c15="http://schemas.microsoft.com/office/drawing/2012/chart" uri="{CE6537A1-D6FC-4f65-9D91-7224C49458BB}"/>
            </c:extLst>
          </c:dLbls>
          <c:cat>
            <c:strRef>
              <c:f>'ANÁLISIS 4'!$B$12:$B$15</c:f>
              <c:strCache>
                <c:ptCount val="4"/>
                <c:pt idx="0">
                  <c:v>4.1 Comprensión de la organización y de su contexto</c:v>
                </c:pt>
                <c:pt idx="1">
                  <c:v>4.2 Comprensión de las necesidades y expectativas de las partes interesadas</c:v>
                </c:pt>
                <c:pt idx="2">
                  <c:v>4.3 Determinación del alcance del SGSI</c:v>
                </c:pt>
                <c:pt idx="3">
                  <c:v>4.4 Sistema de gestión de seguridad de la información</c:v>
                </c:pt>
              </c:strCache>
            </c:strRef>
          </c:cat>
          <c:val>
            <c:numRef>
              <c:f>'ANÁLISIS 4'!$I$12:$I$15</c:f>
              <c:numCache>
                <c:formatCode>#,##0</c:formatCode>
                <c:ptCount val="4"/>
                <c:pt idx="0">
                  <c:v>0</c:v>
                </c:pt>
                <c:pt idx="1">
                  <c:v>0</c:v>
                </c:pt>
                <c:pt idx="2">
                  <c:v>0</c:v>
                </c:pt>
                <c:pt idx="3">
                  <c:v>0</c:v>
                </c:pt>
              </c:numCache>
            </c:numRef>
          </c:val>
          <c:extLst>
            <c:ext xmlns:c16="http://schemas.microsoft.com/office/drawing/2014/chart" uri="{C3380CC4-5D6E-409C-BE32-E72D297353CC}">
              <c16:uniqueId val="{00000000-39E0-424A-B689-5297BB21DD0F}"/>
            </c:ext>
          </c:extLst>
        </c:ser>
        <c:ser>
          <c:idx val="1"/>
          <c:order val="1"/>
          <c:tx>
            <c:strRef>
              <c:f>'ANÁLISIS 4'!$B$9:$I$9</c:f>
              <c:strCache>
                <c:ptCount val="1"/>
                <c:pt idx="0">
                  <c:v>4. CONTEXTO DE LA ORGANIZACIÓN</c:v>
                </c:pt>
              </c:strCache>
            </c:strRef>
          </c:tx>
          <c:spPr>
            <a:ln>
              <a:prstDash val="solid"/>
            </a:ln>
          </c:spPr>
          <c:dLbls>
            <c:spPr>
              <a:noFill/>
              <a:ln>
                <a:noFill/>
                <a:prstDash val="solid"/>
              </a:ln>
            </c:spPr>
            <c:showLegendKey val="0"/>
            <c:showVal val="0"/>
            <c:showCatName val="0"/>
            <c:showSerName val="0"/>
            <c:showPercent val="1"/>
            <c:showBubbleSize val="0"/>
            <c:showLeaderLines val="1"/>
            <c:extLst>
              <c:ext xmlns:c15="http://schemas.microsoft.com/office/drawing/2012/chart" uri="{CE6537A1-D6FC-4f65-9D91-7224C49458BB}"/>
            </c:extLst>
          </c:dLbls>
          <c:cat>
            <c:strRef>
              <c:f>'ANÁLISIS 4'!$B$12:$B$15</c:f>
              <c:strCache>
                <c:ptCount val="4"/>
                <c:pt idx="0">
                  <c:v>4.1 Comprensión de la organización y de su contexto</c:v>
                </c:pt>
                <c:pt idx="1">
                  <c:v>4.2 Comprensión de las necesidades y expectativas de las partes interesadas</c:v>
                </c:pt>
                <c:pt idx="2">
                  <c:v>4.3 Determinación del alcance del SGSI</c:v>
                </c:pt>
                <c:pt idx="3">
                  <c:v>4.4 Sistema de gestión de seguridad de la información</c:v>
                </c:pt>
              </c:strCache>
            </c:strRef>
          </c:cat>
          <c:val>
            <c:numLit>
              <c:formatCode>General</c:formatCode>
              <c:ptCount val="1"/>
              <c:pt idx="0">
                <c:v>1</c:v>
              </c:pt>
            </c:numLit>
          </c:val>
          <c:extLst>
            <c:ext xmlns:c16="http://schemas.microsoft.com/office/drawing/2014/chart" uri="{C3380CC4-5D6E-409C-BE32-E72D297353CC}">
              <c16:uniqueId val="{00000001-39E0-424A-B689-5297BB21DD0F}"/>
            </c:ext>
          </c:extLst>
        </c:ser>
        <c:dLbls>
          <c:showLegendKey val="0"/>
          <c:showVal val="0"/>
          <c:showCatName val="0"/>
          <c:showSerName val="0"/>
          <c:showPercent val="1"/>
          <c:showBubbleSize val="0"/>
          <c:showLeaderLines val="1"/>
        </c:dLbls>
        <c:firstSliceAng val="0"/>
      </c:pieChart>
    </c:plotArea>
    <c:legend>
      <c:legendPos val="r"/>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latin typeface="Times New Roman" panose="02020603050405020304" pitchFamily="18" charset="0"/>
                <a:cs typeface="Times New Roman" panose="02020603050405020304" pitchFamily="18" charset="0"/>
              </a:defRPr>
            </a:pPr>
            <a:r>
              <a:rPr lang="es-PE" sz="1400" b="1" i="0" baseline="0">
                <a:effectLst/>
                <a:latin typeface="Times New Roman" panose="02020603050405020304" pitchFamily="18" charset="0"/>
                <a:cs typeface="Times New Roman" panose="02020603050405020304" pitchFamily="18" charset="0"/>
              </a:rPr>
              <a:t>Porcentaje de valores de cumplimiento y numerales de CLÁUSULA 4</a:t>
            </a:r>
            <a:endParaRPr lang="es-PE" sz="1400">
              <a:effectLst/>
              <a:latin typeface="Times New Roman" panose="02020603050405020304" pitchFamily="18" charset="0"/>
              <a:cs typeface="Times New Roman" panose="02020603050405020304" pitchFamily="18" charset="0"/>
            </a:endParaRPr>
          </a:p>
        </c:rich>
      </c:tx>
      <c:overlay val="0"/>
    </c:title>
    <c:autoTitleDeleted val="0"/>
    <c:plotArea>
      <c:layout/>
      <c:pieChart>
        <c:varyColors val="1"/>
        <c:ser>
          <c:idx val="0"/>
          <c:order val="0"/>
          <c:spPr>
            <a:ln>
              <a:prstDash val="solid"/>
            </a:ln>
          </c:spPr>
          <c:dPt>
            <c:idx val="0"/>
            <c:bubble3D val="0"/>
            <c:spPr>
              <a:solidFill>
                <a:schemeClr val="accent1"/>
              </a:solidFill>
              <a:ln>
                <a:noFill/>
                <a:prstDash val="solid"/>
              </a:ln>
            </c:spPr>
            <c:extLst>
              <c:ext xmlns:c16="http://schemas.microsoft.com/office/drawing/2014/chart" uri="{C3380CC4-5D6E-409C-BE32-E72D297353CC}">
                <c16:uniqueId val="{00000001-7AE5-4AFB-893C-8B5B4946E41C}"/>
              </c:ext>
            </c:extLst>
          </c:dPt>
          <c:dPt>
            <c:idx val="1"/>
            <c:bubble3D val="0"/>
            <c:spPr>
              <a:solidFill>
                <a:schemeClr val="accent2"/>
              </a:solidFill>
              <a:ln>
                <a:noFill/>
                <a:prstDash val="solid"/>
              </a:ln>
            </c:spPr>
            <c:extLst>
              <c:ext xmlns:c16="http://schemas.microsoft.com/office/drawing/2014/chart" uri="{C3380CC4-5D6E-409C-BE32-E72D297353CC}">
                <c16:uniqueId val="{00000003-7AE5-4AFB-893C-8B5B4946E41C}"/>
              </c:ext>
            </c:extLst>
          </c:dPt>
          <c:dPt>
            <c:idx val="2"/>
            <c:bubble3D val="0"/>
            <c:spPr>
              <a:solidFill>
                <a:schemeClr val="accent3"/>
              </a:solidFill>
              <a:ln>
                <a:noFill/>
                <a:prstDash val="solid"/>
              </a:ln>
            </c:spPr>
            <c:extLst>
              <c:ext xmlns:c16="http://schemas.microsoft.com/office/drawing/2014/chart" uri="{C3380CC4-5D6E-409C-BE32-E72D297353CC}">
                <c16:uniqueId val="{00000005-7AE5-4AFB-893C-8B5B4946E41C}"/>
              </c:ext>
            </c:extLst>
          </c:dPt>
          <c:dPt>
            <c:idx val="3"/>
            <c:bubble3D val="0"/>
            <c:spPr>
              <a:solidFill>
                <a:schemeClr val="accent4"/>
              </a:solidFill>
              <a:ln>
                <a:noFill/>
                <a:prstDash val="solid"/>
              </a:ln>
            </c:spPr>
            <c:extLst>
              <c:ext xmlns:c16="http://schemas.microsoft.com/office/drawing/2014/chart" uri="{C3380CC4-5D6E-409C-BE32-E72D297353CC}">
                <c16:uniqueId val="{00000007-7AE5-4AFB-893C-8B5B4946E41C}"/>
              </c:ext>
            </c:extLst>
          </c:dPt>
          <c:dPt>
            <c:idx val="4"/>
            <c:bubble3D val="0"/>
            <c:spPr>
              <a:solidFill>
                <a:schemeClr val="accent5"/>
              </a:solidFill>
              <a:ln>
                <a:noFill/>
                <a:prstDash val="solid"/>
              </a:ln>
            </c:spPr>
            <c:extLst>
              <c:ext xmlns:c16="http://schemas.microsoft.com/office/drawing/2014/chart" uri="{C3380CC4-5D6E-409C-BE32-E72D297353CC}">
                <c16:uniqueId val="{00000009-7AE5-4AFB-893C-8B5B4946E41C}"/>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'ANÁLISIS 4'!$C$10:$G$10</c:f>
              <c:strCache>
                <c:ptCount val="5"/>
                <c:pt idx="0">
                  <c:v>0% -No documentado / No existente</c:v>
                </c:pt>
                <c:pt idx="1">
                  <c:v>25% - Aplicado / No documentado</c:v>
                </c:pt>
                <c:pt idx="2">
                  <c:v>50%  - Documentado / No aplicado</c:v>
                </c:pt>
                <c:pt idx="3">
                  <c:v>75% - Aplicado y documentado</c:v>
                </c:pt>
                <c:pt idx="4">
                  <c:v>100% - Aplicado, documentado y controlado</c:v>
                </c:pt>
              </c:strCache>
            </c:strRef>
          </c:cat>
          <c:val>
            <c:numRef>
              <c:f>'ANÁLISIS 4'!$C$16:$G$16</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A-7AE5-4AFB-893C-8B5B4946E41C}"/>
            </c:ext>
          </c:extLst>
        </c:ser>
        <c:dLbls>
          <c:showLegendKey val="0"/>
          <c:showVal val="0"/>
          <c:showCatName val="0"/>
          <c:showSerName val="0"/>
          <c:showPercent val="1"/>
          <c:showBubbleSize val="0"/>
          <c:showLeaderLines val="1"/>
        </c:dLbls>
        <c:firstSliceAng val="0"/>
      </c:pieChart>
    </c:plotArea>
    <c:legend>
      <c:legendPos val="r"/>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a:latin typeface="Times New Roman" panose="02020603050405020304" pitchFamily="18" charset="0"/>
                <a:cs typeface="Times New Roman" panose="02020603050405020304" pitchFamily="18" charset="0"/>
              </a:defRPr>
            </a:pPr>
            <a:r>
              <a:rPr lang="en-US" sz="1000">
                <a:latin typeface="Times New Roman" panose="02020603050405020304" pitchFamily="18" charset="0"/>
                <a:cs typeface="Times New Roman" panose="02020603050405020304" pitchFamily="18" charset="0"/>
              </a:rPr>
              <a:t>Porcentaje de representatividad - Requisitos de Liderazgo</a:t>
            </a:r>
          </a:p>
        </c:rich>
      </c:tx>
      <c:overlay val="0"/>
    </c:title>
    <c:autoTitleDeleted val="0"/>
    <c:plotArea>
      <c:layout/>
      <c:pieChart>
        <c:varyColors val="1"/>
        <c:ser>
          <c:idx val="0"/>
          <c:order val="0"/>
          <c:spPr>
            <a:ln>
              <a:prstDash val="solid"/>
            </a:ln>
          </c:spPr>
          <c:dLbls>
            <c:spPr>
              <a:noFill/>
              <a:ln>
                <a:noFill/>
                <a:prstDash val="solid"/>
              </a:ln>
            </c:spPr>
            <c:showLegendKey val="0"/>
            <c:showVal val="0"/>
            <c:showCatName val="0"/>
            <c:showSerName val="0"/>
            <c:showPercent val="1"/>
            <c:showBubbleSize val="0"/>
            <c:showLeaderLines val="1"/>
            <c:extLst>
              <c:ext xmlns:c15="http://schemas.microsoft.com/office/drawing/2012/chart" uri="{CE6537A1-D6FC-4f65-9D91-7224C49458BB}"/>
            </c:extLst>
          </c:dLbls>
          <c:cat>
            <c:strRef>
              <c:f>'ANÁLISIS 5'!$B$12:$B$14</c:f>
              <c:strCache>
                <c:ptCount val="3"/>
                <c:pt idx="0">
                  <c:v>5.1 Liderazgo y compromiso</c:v>
                </c:pt>
                <c:pt idx="1">
                  <c:v>5.2 Política de seguridad de la información</c:v>
                </c:pt>
                <c:pt idx="2">
                  <c:v>5.3 Roles, responsabilidades y autoridades</c:v>
                </c:pt>
              </c:strCache>
            </c:strRef>
          </c:cat>
          <c:val>
            <c:numRef>
              <c:f>'ANÁLISIS 5'!$I$12:$I$14</c:f>
              <c:numCache>
                <c:formatCode>#,##0</c:formatCode>
                <c:ptCount val="3"/>
                <c:pt idx="0">
                  <c:v>0</c:v>
                </c:pt>
                <c:pt idx="1">
                  <c:v>0</c:v>
                </c:pt>
                <c:pt idx="2">
                  <c:v>0</c:v>
                </c:pt>
              </c:numCache>
            </c:numRef>
          </c:val>
          <c:extLst>
            <c:ext xmlns:c16="http://schemas.microsoft.com/office/drawing/2014/chart" uri="{C3380CC4-5D6E-409C-BE32-E72D297353CC}">
              <c16:uniqueId val="{00000000-8C39-448E-AA04-CE886395E015}"/>
            </c:ext>
          </c:extLst>
        </c:ser>
        <c:dLbls>
          <c:showLegendKey val="0"/>
          <c:showVal val="0"/>
          <c:showCatName val="0"/>
          <c:showSerName val="0"/>
          <c:showPercent val="1"/>
          <c:showBubbleSize val="0"/>
          <c:showLeaderLines val="1"/>
        </c:dLbls>
        <c:firstSliceAng val="0"/>
      </c:pieChart>
    </c:plotArea>
    <c:legend>
      <c:legendPos val="r"/>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strike="noStrike" kern="1200" baseline="0">
                <a:solidFill>
                  <a:schemeClr val="dk1">
                    <a:lumMod val="75000"/>
                    <a:lumOff val="25000"/>
                  </a:schemeClr>
                </a:solidFill>
                <a:latin typeface="Times New Roman" panose="02020603050405020304" pitchFamily="18" charset="0"/>
                <a:ea typeface="+mn-ea"/>
                <a:cs typeface="Times New Roman" panose="02020603050405020304" pitchFamily="18" charset="0"/>
              </a:defRPr>
            </a:pPr>
            <a:r>
              <a:rPr lang="es-PE" sz="1000" b="1">
                <a:latin typeface="Times New Roman" panose="02020603050405020304" pitchFamily="18" charset="0"/>
                <a:cs typeface="Times New Roman" panose="02020603050405020304" pitchFamily="18" charset="0"/>
              </a:rPr>
              <a:t>Porcentaje de valores de cumplimiento y numerales de CLÁUSULA 5</a:t>
            </a:r>
            <a:endParaRPr lang="es-PE" sz="1000">
              <a:latin typeface="Times New Roman" panose="02020603050405020304" pitchFamily="18" charset="0"/>
              <a:cs typeface="Times New Roman" panose="02020603050405020304" pitchFamily="18" charset="0"/>
            </a:endParaRP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a:noFill/>
                <a:prstDash val="solid"/>
              </a:ln>
            </c:spPr>
            <c:extLst>
              <c:ext xmlns:c16="http://schemas.microsoft.com/office/drawing/2014/chart" uri="{C3380CC4-5D6E-409C-BE32-E72D297353CC}">
                <c16:uniqueId val="{00000001-0FA6-4599-A290-1F22AECF0734}"/>
              </c:ext>
            </c:extLst>
          </c:dPt>
          <c:dPt>
            <c:idx val="1"/>
            <c:bubble3D val="0"/>
            <c:spPr>
              <a:solidFill>
                <a:schemeClr val="accent2"/>
              </a:solidFill>
              <a:ln>
                <a:noFill/>
                <a:prstDash val="solid"/>
              </a:ln>
            </c:spPr>
            <c:extLst>
              <c:ext xmlns:c16="http://schemas.microsoft.com/office/drawing/2014/chart" uri="{C3380CC4-5D6E-409C-BE32-E72D297353CC}">
                <c16:uniqueId val="{00000003-0FA6-4599-A290-1F22AECF0734}"/>
              </c:ext>
            </c:extLst>
          </c:dPt>
          <c:dPt>
            <c:idx val="2"/>
            <c:bubble3D val="0"/>
            <c:spPr>
              <a:solidFill>
                <a:schemeClr val="accent3"/>
              </a:solidFill>
              <a:ln>
                <a:noFill/>
                <a:prstDash val="solid"/>
              </a:ln>
            </c:spPr>
            <c:extLst>
              <c:ext xmlns:c16="http://schemas.microsoft.com/office/drawing/2014/chart" uri="{C3380CC4-5D6E-409C-BE32-E72D297353CC}">
                <c16:uniqueId val="{00000005-0FA6-4599-A290-1F22AECF0734}"/>
              </c:ext>
            </c:extLst>
          </c:dPt>
          <c:dPt>
            <c:idx val="3"/>
            <c:bubble3D val="0"/>
            <c:spPr>
              <a:solidFill>
                <a:schemeClr val="accent4"/>
              </a:solidFill>
              <a:ln>
                <a:noFill/>
                <a:prstDash val="solid"/>
              </a:ln>
            </c:spPr>
            <c:extLst>
              <c:ext xmlns:c16="http://schemas.microsoft.com/office/drawing/2014/chart" uri="{C3380CC4-5D6E-409C-BE32-E72D297353CC}">
                <c16:uniqueId val="{00000007-0FA6-4599-A290-1F22AECF0734}"/>
              </c:ext>
            </c:extLst>
          </c:dPt>
          <c:dPt>
            <c:idx val="4"/>
            <c:bubble3D val="0"/>
            <c:spPr>
              <a:solidFill>
                <a:schemeClr val="accent5"/>
              </a:solidFill>
              <a:ln>
                <a:noFill/>
                <a:prstDash val="solid"/>
              </a:ln>
            </c:spPr>
            <c:extLst>
              <c:ext xmlns:c16="http://schemas.microsoft.com/office/drawing/2014/chart" uri="{C3380CC4-5D6E-409C-BE32-E72D297353CC}">
                <c16:uniqueId val="{00000009-0FA6-4599-A290-1F22AECF0734}"/>
              </c:ext>
            </c:extLst>
          </c:dPt>
          <c:dLbls>
            <c:spPr>
              <a:pattFill prst="pct75">
                <a:fgClr>
                  <a:schemeClr val="dk1">
                    <a:lumMod val="75000"/>
                    <a:lumOff val="25000"/>
                  </a:schemeClr>
                </a:fgClr>
                <a:bgClr>
                  <a:schemeClr val="dk1">
                    <a:lumMod val="65000"/>
                    <a:lumOff val="35000"/>
                  </a:scheme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s-PE"/>
              </a:p>
            </c:txPr>
            <c:showLegendKey val="0"/>
            <c:showVal val="0"/>
            <c:showCatName val="0"/>
            <c:showSerName val="0"/>
            <c:showPercent val="1"/>
            <c:showBubbleSize val="0"/>
            <c:showLeaderLines val="1"/>
            <c:extLst>
              <c:ext xmlns:c15="http://schemas.microsoft.com/office/drawing/2012/chart" uri="{CE6537A1-D6FC-4f65-9D91-7224C49458BB}"/>
            </c:extLst>
          </c:dLbls>
          <c:cat>
            <c:strRef>
              <c:f>'ANÁLISIS 5'!$C$10:$G$10</c:f>
              <c:strCache>
                <c:ptCount val="5"/>
                <c:pt idx="0">
                  <c:v>0% -No documentado / No existente</c:v>
                </c:pt>
                <c:pt idx="1">
                  <c:v>25% - Aplicado / No documentado</c:v>
                </c:pt>
                <c:pt idx="2">
                  <c:v>50%  - Documentado / No aplicado</c:v>
                </c:pt>
                <c:pt idx="3">
                  <c:v>75% - Aplicado y documentado</c:v>
                </c:pt>
                <c:pt idx="4">
                  <c:v>100% - Aplicado, documentado y controlado</c:v>
                </c:pt>
              </c:strCache>
            </c:strRef>
          </c:cat>
          <c:val>
            <c:numRef>
              <c:f>'ANÁLISIS 5'!$C$15:$G$15</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A-0FA6-4599-A290-1F22AECF0734}"/>
            </c:ext>
          </c:extLst>
        </c:ser>
        <c:dLbls>
          <c:showLegendKey val="0"/>
          <c:showVal val="0"/>
          <c:showCatName val="0"/>
          <c:showSerName val="0"/>
          <c:showPercent val="1"/>
          <c:showBubbleSize val="0"/>
          <c:showLeaderLines val="1"/>
        </c:dLbls>
        <c:firstSliceAng val="0"/>
      </c:pieChart>
    </c:plotArea>
    <c:legend>
      <c:legendPos val="r"/>
      <c:overlay val="0"/>
      <c:spPr>
        <a:solidFill>
          <a:schemeClr val="lt1">
            <a:alpha val="39000"/>
            <a:lumMod val="95000"/>
          </a:schemeClr>
        </a:solidFill>
        <a:ln>
          <a:noFill/>
          <a:prstDash val="solid"/>
        </a:ln>
      </c:spPr>
      <c:txPr>
        <a:bodyPr rot="0" spcFirstLastPara="1" vertOverflow="ellipsis" vert="horz" wrap="square" anchor="ctr" anchorCtr="1"/>
        <a:lstStyle/>
        <a:p>
          <a:pPr rtl="0">
            <a:defRPr sz="900" b="0" i="0" strike="noStrike" kern="1200" baseline="0">
              <a:solidFill>
                <a:schemeClr val="dk1">
                  <a:lumMod val="75000"/>
                  <a:lumOff val="25000"/>
                </a:schemeClr>
              </a:solidFill>
              <a:latin typeface="+mn-lt"/>
              <a:ea typeface="+mn-ea"/>
              <a:cs typeface="+mn-cs"/>
            </a:defRPr>
          </a:pPr>
          <a:endParaRPr lang="es-PE"/>
        </a:p>
      </c:txPr>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a:latin typeface="Times New Roman" panose="02020603050405020304" pitchFamily="18" charset="0"/>
                <a:cs typeface="Times New Roman" panose="02020603050405020304" pitchFamily="18" charset="0"/>
              </a:defRPr>
            </a:pPr>
            <a:r>
              <a:rPr lang="en-US" sz="1000">
                <a:latin typeface="Times New Roman" panose="02020603050405020304" pitchFamily="18" charset="0"/>
                <a:cs typeface="Times New Roman" panose="02020603050405020304" pitchFamily="18" charset="0"/>
              </a:rPr>
              <a:t>Porcentaje de representatividad - Requisitos de Planificación</a:t>
            </a:r>
          </a:p>
        </c:rich>
      </c:tx>
      <c:overlay val="0"/>
    </c:title>
    <c:autoTitleDeleted val="0"/>
    <c:plotArea>
      <c:layout/>
      <c:pieChart>
        <c:varyColors val="1"/>
        <c:ser>
          <c:idx val="0"/>
          <c:order val="0"/>
          <c:spPr>
            <a:ln>
              <a:prstDash val="solid"/>
            </a:ln>
          </c:spPr>
          <c:dLbls>
            <c:spPr>
              <a:noFill/>
              <a:ln>
                <a:noFill/>
                <a:prstDash val="solid"/>
              </a:ln>
            </c:spPr>
            <c:showLegendKey val="0"/>
            <c:showVal val="0"/>
            <c:showCatName val="0"/>
            <c:showSerName val="0"/>
            <c:showPercent val="1"/>
            <c:showBubbleSize val="0"/>
            <c:showLeaderLines val="1"/>
            <c:extLst>
              <c:ext xmlns:c15="http://schemas.microsoft.com/office/drawing/2012/chart" uri="{CE6537A1-D6FC-4f65-9D91-7224C49458BB}"/>
            </c:extLst>
          </c:dLbls>
          <c:cat>
            <c:strRef>
              <c:f>'ANÁLISIS 6'!$B$12:$B$13</c:f>
              <c:strCache>
                <c:ptCount val="2"/>
                <c:pt idx="0">
                  <c:v>6.1 Acciones para abordar riesgos y oportunidades</c:v>
                </c:pt>
                <c:pt idx="1">
                  <c:v>6.2 Objetivos de seguridad de la información y planificación para lograrlos</c:v>
                </c:pt>
              </c:strCache>
            </c:strRef>
          </c:cat>
          <c:val>
            <c:numRef>
              <c:f>'ANÁLISIS 6'!$I$12:$I$13</c:f>
              <c:numCache>
                <c:formatCode>#,##0</c:formatCode>
                <c:ptCount val="2"/>
                <c:pt idx="0">
                  <c:v>0</c:v>
                </c:pt>
                <c:pt idx="1">
                  <c:v>0</c:v>
                </c:pt>
              </c:numCache>
            </c:numRef>
          </c:val>
          <c:extLst>
            <c:ext xmlns:c16="http://schemas.microsoft.com/office/drawing/2014/chart" uri="{C3380CC4-5D6E-409C-BE32-E72D297353CC}">
              <c16:uniqueId val="{00000000-A506-4BA3-A854-D347FCC43EFC}"/>
            </c:ext>
          </c:extLst>
        </c:ser>
        <c:dLbls>
          <c:showLegendKey val="0"/>
          <c:showVal val="0"/>
          <c:showCatName val="0"/>
          <c:showSerName val="0"/>
          <c:showPercent val="1"/>
          <c:showBubbleSize val="0"/>
          <c:showLeaderLines val="1"/>
        </c:dLbls>
        <c:firstSliceAng val="0"/>
      </c:pieChart>
    </c:plotArea>
    <c:legend>
      <c:legendPos val="r"/>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strike="noStrike" kern="1200" baseline="0">
                <a:solidFill>
                  <a:schemeClr val="dk1">
                    <a:lumMod val="75000"/>
                    <a:lumOff val="25000"/>
                  </a:schemeClr>
                </a:solidFill>
                <a:latin typeface="+mn-lt"/>
                <a:ea typeface="+mn-ea"/>
                <a:cs typeface="+mn-cs"/>
              </a:defRPr>
            </a:pPr>
            <a:r>
              <a:rPr lang="es-PE" sz="1000" b="1" i="0" strike="noStrike" baseline="0">
                <a:latin typeface="Times New Roman" panose="02020603050405020304" pitchFamily="18" charset="0"/>
                <a:cs typeface="Times New Roman" panose="02020603050405020304" pitchFamily="18" charset="0"/>
              </a:rPr>
              <a:t>Porcentaje de valores de cumplimiento y numerales de CLÁUSULA 6</a:t>
            </a:r>
            <a:r>
              <a:rPr lang="es-PE" sz="1000">
                <a:latin typeface="Times New Roman" panose="02020603050405020304" pitchFamily="18" charset="0"/>
                <a:cs typeface="Times New Roman" panose="02020603050405020304" pitchFamily="18" charset="0"/>
              </a:rPr>
              <a:t> </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a:noFill/>
                <a:prstDash val="solid"/>
              </a:ln>
            </c:spPr>
            <c:extLst>
              <c:ext xmlns:c16="http://schemas.microsoft.com/office/drawing/2014/chart" uri="{C3380CC4-5D6E-409C-BE32-E72D297353CC}">
                <c16:uniqueId val="{00000001-C038-461E-8CDF-B04C320D3883}"/>
              </c:ext>
            </c:extLst>
          </c:dPt>
          <c:dPt>
            <c:idx val="1"/>
            <c:bubble3D val="0"/>
            <c:spPr>
              <a:solidFill>
                <a:schemeClr val="accent2"/>
              </a:solidFill>
              <a:ln>
                <a:noFill/>
                <a:prstDash val="solid"/>
              </a:ln>
            </c:spPr>
            <c:extLst>
              <c:ext xmlns:c16="http://schemas.microsoft.com/office/drawing/2014/chart" uri="{C3380CC4-5D6E-409C-BE32-E72D297353CC}">
                <c16:uniqueId val="{00000003-C038-461E-8CDF-B04C320D3883}"/>
              </c:ext>
            </c:extLst>
          </c:dPt>
          <c:dPt>
            <c:idx val="2"/>
            <c:bubble3D val="0"/>
            <c:spPr>
              <a:solidFill>
                <a:schemeClr val="accent3"/>
              </a:solidFill>
              <a:ln>
                <a:noFill/>
                <a:prstDash val="solid"/>
              </a:ln>
            </c:spPr>
            <c:extLst>
              <c:ext xmlns:c16="http://schemas.microsoft.com/office/drawing/2014/chart" uri="{C3380CC4-5D6E-409C-BE32-E72D297353CC}">
                <c16:uniqueId val="{00000005-C038-461E-8CDF-B04C320D3883}"/>
              </c:ext>
            </c:extLst>
          </c:dPt>
          <c:dPt>
            <c:idx val="3"/>
            <c:bubble3D val="0"/>
            <c:spPr>
              <a:solidFill>
                <a:schemeClr val="accent4"/>
              </a:solidFill>
              <a:ln>
                <a:noFill/>
                <a:prstDash val="solid"/>
              </a:ln>
            </c:spPr>
            <c:extLst>
              <c:ext xmlns:c16="http://schemas.microsoft.com/office/drawing/2014/chart" uri="{C3380CC4-5D6E-409C-BE32-E72D297353CC}">
                <c16:uniqueId val="{00000007-C038-461E-8CDF-B04C320D3883}"/>
              </c:ext>
            </c:extLst>
          </c:dPt>
          <c:dPt>
            <c:idx val="4"/>
            <c:bubble3D val="0"/>
            <c:spPr>
              <a:solidFill>
                <a:schemeClr val="accent5"/>
              </a:solidFill>
              <a:ln>
                <a:noFill/>
                <a:prstDash val="solid"/>
              </a:ln>
            </c:spPr>
            <c:extLst>
              <c:ext xmlns:c16="http://schemas.microsoft.com/office/drawing/2014/chart" uri="{C3380CC4-5D6E-409C-BE32-E72D297353CC}">
                <c16:uniqueId val="{00000009-C038-461E-8CDF-B04C320D3883}"/>
              </c:ext>
            </c:extLst>
          </c:dPt>
          <c:dLbls>
            <c:spPr>
              <a:pattFill prst="pct75">
                <a:fgClr>
                  <a:schemeClr val="dk1">
                    <a:lumMod val="75000"/>
                    <a:lumOff val="25000"/>
                  </a:schemeClr>
                </a:fgClr>
                <a:bgClr>
                  <a:schemeClr val="dk1">
                    <a:lumMod val="65000"/>
                    <a:lumOff val="35000"/>
                  </a:scheme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s-PE"/>
              </a:p>
            </c:txPr>
            <c:showLegendKey val="0"/>
            <c:showVal val="0"/>
            <c:showCatName val="0"/>
            <c:showSerName val="0"/>
            <c:showPercent val="1"/>
            <c:showBubbleSize val="0"/>
            <c:showLeaderLines val="1"/>
            <c:extLst>
              <c:ext xmlns:c15="http://schemas.microsoft.com/office/drawing/2012/chart" uri="{CE6537A1-D6FC-4f65-9D91-7224C49458BB}"/>
            </c:extLst>
          </c:dLbls>
          <c:cat>
            <c:strRef>
              <c:f>'ANÁLISIS 6'!$C$10:$G$10</c:f>
              <c:strCache>
                <c:ptCount val="5"/>
                <c:pt idx="0">
                  <c:v>0% -No documentado / No existente</c:v>
                </c:pt>
                <c:pt idx="1">
                  <c:v>25% - Aplicado / No documentado</c:v>
                </c:pt>
                <c:pt idx="2">
                  <c:v>50%  - Documentado / No aplicado</c:v>
                </c:pt>
                <c:pt idx="3">
                  <c:v>75% - Aplicado y documentado</c:v>
                </c:pt>
                <c:pt idx="4">
                  <c:v>100% - Aplicado, documentado y controlado</c:v>
                </c:pt>
              </c:strCache>
            </c:strRef>
          </c:cat>
          <c:val>
            <c:numRef>
              <c:f>'ANÁLISIS 6'!$C$14:$G$14</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A-C038-461E-8CDF-B04C320D3883}"/>
            </c:ext>
          </c:extLst>
        </c:ser>
        <c:dLbls>
          <c:showLegendKey val="0"/>
          <c:showVal val="0"/>
          <c:showCatName val="0"/>
          <c:showSerName val="0"/>
          <c:showPercent val="1"/>
          <c:showBubbleSize val="0"/>
          <c:showLeaderLines val="1"/>
        </c:dLbls>
        <c:firstSliceAng val="0"/>
      </c:pieChart>
    </c:plotArea>
    <c:legend>
      <c:legendPos val="r"/>
      <c:overlay val="0"/>
      <c:spPr>
        <a:solidFill>
          <a:schemeClr val="lt1">
            <a:alpha val="39000"/>
            <a:lumMod val="95000"/>
          </a:schemeClr>
        </a:solidFill>
        <a:ln>
          <a:noFill/>
          <a:prstDash val="solid"/>
        </a:ln>
      </c:spPr>
      <c:txPr>
        <a:bodyPr rot="0" spcFirstLastPara="1" vertOverflow="ellipsis" vert="horz" wrap="square" anchor="ctr" anchorCtr="1"/>
        <a:lstStyle/>
        <a:p>
          <a:pPr>
            <a:defRPr sz="900" b="0" i="0" strike="noStrike" kern="1200" baseline="0">
              <a:solidFill>
                <a:schemeClr val="dk1">
                  <a:lumMod val="75000"/>
                  <a:lumOff val="25000"/>
                </a:schemeClr>
              </a:solidFill>
              <a:latin typeface="+mn-lt"/>
              <a:ea typeface="+mn-ea"/>
              <a:cs typeface="+mn-cs"/>
            </a:defRPr>
          </a:pPr>
          <a:endParaRPr lang="es-PE"/>
        </a:p>
      </c:txPr>
    </c:legend>
    <c:plotVisOnly val="1"/>
    <c:dispBlanksAs val="gap"/>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a:latin typeface="Times New Roman" panose="02020603050405020304" pitchFamily="18" charset="0"/>
                <a:cs typeface="Times New Roman" panose="02020603050405020304" pitchFamily="18" charset="0"/>
              </a:defRPr>
            </a:pPr>
            <a:r>
              <a:rPr lang="en-US" sz="1000">
                <a:latin typeface="Times New Roman" panose="02020603050405020304" pitchFamily="18" charset="0"/>
                <a:cs typeface="Times New Roman" panose="02020603050405020304" pitchFamily="18" charset="0"/>
              </a:rPr>
              <a:t>Porcentaje de representatividad - Requisitos de Soporte</a:t>
            </a:r>
          </a:p>
        </c:rich>
      </c:tx>
      <c:overlay val="0"/>
    </c:title>
    <c:autoTitleDeleted val="0"/>
    <c:plotArea>
      <c:layout/>
      <c:pieChart>
        <c:varyColors val="1"/>
        <c:ser>
          <c:idx val="0"/>
          <c:order val="0"/>
          <c:spPr>
            <a:ln>
              <a:prstDash val="solid"/>
            </a:ln>
          </c:spPr>
          <c:dLbls>
            <c:spPr>
              <a:noFill/>
              <a:ln>
                <a:noFill/>
                <a:prstDash val="solid"/>
              </a:ln>
            </c:spPr>
            <c:showLegendKey val="0"/>
            <c:showVal val="0"/>
            <c:showCatName val="0"/>
            <c:showSerName val="0"/>
            <c:showPercent val="1"/>
            <c:showBubbleSize val="0"/>
            <c:showLeaderLines val="1"/>
            <c:extLst>
              <c:ext xmlns:c15="http://schemas.microsoft.com/office/drawing/2012/chart" uri="{CE6537A1-D6FC-4f65-9D91-7224C49458BB}"/>
            </c:extLst>
          </c:dLbls>
          <c:cat>
            <c:strRef>
              <c:f>'ANÁLISIS 7'!$B$12:$B$16</c:f>
              <c:strCache>
                <c:ptCount val="5"/>
                <c:pt idx="0">
                  <c:v>7.1 Recursos</c:v>
                </c:pt>
                <c:pt idx="1">
                  <c:v>7.2 Competencia</c:v>
                </c:pt>
                <c:pt idx="2">
                  <c:v>7.3 Toma de conciencia y formación</c:v>
                </c:pt>
                <c:pt idx="3">
                  <c:v>7.4 Comunicación</c:v>
                </c:pt>
                <c:pt idx="4">
                  <c:v>7.5 Información documentada</c:v>
                </c:pt>
              </c:strCache>
            </c:strRef>
          </c:cat>
          <c:val>
            <c:numRef>
              <c:f>'ANÁLISIS 7'!$I$12:$I$16</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0-E138-468F-9208-2C9BC5BC893C}"/>
            </c:ext>
          </c:extLst>
        </c:ser>
        <c:dLbls>
          <c:showLegendKey val="0"/>
          <c:showVal val="0"/>
          <c:showCatName val="0"/>
          <c:showSerName val="0"/>
          <c:showPercent val="1"/>
          <c:showBubbleSize val="0"/>
          <c:showLeaderLines val="1"/>
        </c:dLbls>
        <c:firstSliceAng val="0"/>
      </c:pieChart>
    </c:plotArea>
    <c:legend>
      <c:legendPos val="r"/>
      <c:overlay val="0"/>
    </c:legend>
    <c:plotVisOnly val="1"/>
    <c:dispBlanksAs val="gap"/>
    <c:showDLblsOverMax val="0"/>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defRPr sz="1000" b="1" i="0" strike="noStrike" kern="1200" baseline="0">
                <a:solidFill>
                  <a:sysClr val="windowText" lastClr="000000">
                    <a:lumOff val="25000"/>
                    <a:lumMod val="75000"/>
                  </a:sysClr>
                </a:solidFill>
                <a:latin typeface="Times New Roman" panose="02020603050405020304" pitchFamily="18" charset="0"/>
                <a:ea typeface="+mn-ea"/>
                <a:cs typeface="Times New Roman" panose="02020603050405020304" pitchFamily="18" charset="0"/>
              </a:defRPr>
            </a:pPr>
            <a:r>
              <a:rPr lang="es-PE" sz="1000" b="1">
                <a:latin typeface="Times New Roman" panose="02020603050405020304" pitchFamily="18" charset="0"/>
                <a:cs typeface="Times New Roman" panose="02020603050405020304" pitchFamily="18" charset="0"/>
              </a:rPr>
              <a:t>Porcentaje de valores de cumplimiento y numerales de CLÁUSULA 7</a:t>
            </a:r>
            <a:endParaRPr lang="es-PE" sz="1000">
              <a:latin typeface="Times New Roman" panose="02020603050405020304" pitchFamily="18" charset="0"/>
              <a:cs typeface="Times New Roman" panose="02020603050405020304" pitchFamily="18" charset="0"/>
            </a:endParaRPr>
          </a:p>
          <a:p>
            <a:pPr marL="0" marR="0" lvl="0" indent="0" algn="ctr" defTabSz="914400" rtl="0" eaLnBrk="1" fontAlgn="auto" latinLnBrk="0" hangingPunct="1">
              <a:defRPr sz="1000" b="1" i="0" strike="noStrike" kern="1200" baseline="0">
                <a:solidFill>
                  <a:sysClr val="windowText" lastClr="000000">
                    <a:lumOff val="25000"/>
                    <a:lumMod val="75000"/>
                  </a:sysClr>
                </a:solidFill>
                <a:latin typeface="Times New Roman" panose="02020603050405020304" pitchFamily="18" charset="0"/>
                <a:ea typeface="+mn-ea"/>
                <a:cs typeface="Times New Roman" panose="02020603050405020304" pitchFamily="18" charset="0"/>
              </a:defRPr>
            </a:pPr>
            <a:r>
              <a:rPr lang="es-PE" sz="1000">
                <a:latin typeface="Times New Roman" panose="02020603050405020304" pitchFamily="18" charset="0"/>
                <a:cs typeface="Times New Roman" panose="02020603050405020304" pitchFamily="18" charset="0"/>
              </a:rPr>
              <a:t> </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a:noFill/>
                <a:prstDash val="solid"/>
              </a:ln>
            </c:spPr>
            <c:extLst>
              <c:ext xmlns:c16="http://schemas.microsoft.com/office/drawing/2014/chart" uri="{C3380CC4-5D6E-409C-BE32-E72D297353CC}">
                <c16:uniqueId val="{00000001-F0A9-4200-AF34-E6D0CCF0911C}"/>
              </c:ext>
            </c:extLst>
          </c:dPt>
          <c:dPt>
            <c:idx val="1"/>
            <c:bubble3D val="0"/>
            <c:spPr>
              <a:solidFill>
                <a:schemeClr val="accent2"/>
              </a:solidFill>
              <a:ln>
                <a:noFill/>
                <a:prstDash val="solid"/>
              </a:ln>
            </c:spPr>
            <c:extLst>
              <c:ext xmlns:c16="http://schemas.microsoft.com/office/drawing/2014/chart" uri="{C3380CC4-5D6E-409C-BE32-E72D297353CC}">
                <c16:uniqueId val="{00000003-F0A9-4200-AF34-E6D0CCF0911C}"/>
              </c:ext>
            </c:extLst>
          </c:dPt>
          <c:dPt>
            <c:idx val="2"/>
            <c:bubble3D val="0"/>
            <c:spPr>
              <a:solidFill>
                <a:schemeClr val="accent3"/>
              </a:solidFill>
              <a:ln>
                <a:noFill/>
                <a:prstDash val="solid"/>
              </a:ln>
            </c:spPr>
            <c:extLst>
              <c:ext xmlns:c16="http://schemas.microsoft.com/office/drawing/2014/chart" uri="{C3380CC4-5D6E-409C-BE32-E72D297353CC}">
                <c16:uniqueId val="{00000005-F0A9-4200-AF34-E6D0CCF0911C}"/>
              </c:ext>
            </c:extLst>
          </c:dPt>
          <c:dPt>
            <c:idx val="3"/>
            <c:bubble3D val="0"/>
            <c:spPr>
              <a:solidFill>
                <a:schemeClr val="accent4"/>
              </a:solidFill>
              <a:ln>
                <a:noFill/>
                <a:prstDash val="solid"/>
              </a:ln>
            </c:spPr>
            <c:extLst>
              <c:ext xmlns:c16="http://schemas.microsoft.com/office/drawing/2014/chart" uri="{C3380CC4-5D6E-409C-BE32-E72D297353CC}">
                <c16:uniqueId val="{00000007-F0A9-4200-AF34-E6D0CCF0911C}"/>
              </c:ext>
            </c:extLst>
          </c:dPt>
          <c:dPt>
            <c:idx val="4"/>
            <c:bubble3D val="0"/>
            <c:spPr>
              <a:solidFill>
                <a:schemeClr val="accent5"/>
              </a:solidFill>
              <a:ln>
                <a:noFill/>
                <a:prstDash val="solid"/>
              </a:ln>
            </c:spPr>
            <c:extLst>
              <c:ext xmlns:c16="http://schemas.microsoft.com/office/drawing/2014/chart" uri="{C3380CC4-5D6E-409C-BE32-E72D297353CC}">
                <c16:uniqueId val="{00000009-F0A9-4200-AF34-E6D0CCF0911C}"/>
              </c:ext>
            </c:extLst>
          </c:dPt>
          <c:dLbls>
            <c:spPr>
              <a:pattFill prst="pct75">
                <a:fgClr>
                  <a:schemeClr val="dk1">
                    <a:lumMod val="75000"/>
                    <a:lumOff val="25000"/>
                  </a:schemeClr>
                </a:fgClr>
                <a:bgClr>
                  <a:schemeClr val="dk1">
                    <a:lumMod val="65000"/>
                    <a:lumOff val="35000"/>
                  </a:scheme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s-PE"/>
              </a:p>
            </c:txPr>
            <c:showLegendKey val="0"/>
            <c:showVal val="0"/>
            <c:showCatName val="0"/>
            <c:showSerName val="0"/>
            <c:showPercent val="1"/>
            <c:showBubbleSize val="0"/>
            <c:showLeaderLines val="1"/>
            <c:extLst>
              <c:ext xmlns:c15="http://schemas.microsoft.com/office/drawing/2012/chart" uri="{CE6537A1-D6FC-4f65-9D91-7224C49458BB}"/>
            </c:extLst>
          </c:dLbls>
          <c:cat>
            <c:strRef>
              <c:f>'ANÁLISIS 7'!$C$10:$G$10</c:f>
              <c:strCache>
                <c:ptCount val="5"/>
                <c:pt idx="0">
                  <c:v>0% -No documentado / No existente</c:v>
                </c:pt>
                <c:pt idx="1">
                  <c:v>25% - Aplicado / No documentado</c:v>
                </c:pt>
                <c:pt idx="2">
                  <c:v>50%  - Documentado / No aplicado</c:v>
                </c:pt>
                <c:pt idx="3">
                  <c:v>75% - Aplicado y documentado</c:v>
                </c:pt>
                <c:pt idx="4">
                  <c:v>100% - Aplicado, documentado y controlado</c:v>
                </c:pt>
              </c:strCache>
            </c:strRef>
          </c:cat>
          <c:val>
            <c:numRef>
              <c:f>'ANÁLISIS 7'!$C$17:$G$17</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A-F0A9-4200-AF34-E6D0CCF0911C}"/>
            </c:ext>
          </c:extLst>
        </c:ser>
        <c:dLbls>
          <c:showLegendKey val="0"/>
          <c:showVal val="0"/>
          <c:showCatName val="0"/>
          <c:showSerName val="0"/>
          <c:showPercent val="1"/>
          <c:showBubbleSize val="0"/>
          <c:showLeaderLines val="1"/>
        </c:dLbls>
        <c:firstSliceAng val="0"/>
      </c:pieChart>
    </c:plotArea>
    <c:legend>
      <c:legendPos val="r"/>
      <c:overlay val="0"/>
      <c:spPr>
        <a:solidFill>
          <a:schemeClr val="lt1">
            <a:alpha val="39000"/>
            <a:lumMod val="95000"/>
          </a:schemeClr>
        </a:solidFill>
        <a:ln>
          <a:noFill/>
          <a:prstDash val="solid"/>
        </a:ln>
      </c:spPr>
      <c:txPr>
        <a:bodyPr rot="0" spcFirstLastPara="1" vertOverflow="ellipsis" vert="horz" wrap="square" anchor="ctr" anchorCtr="1"/>
        <a:lstStyle/>
        <a:p>
          <a:pPr>
            <a:defRPr sz="900" b="0" i="0" strike="noStrike" kern="1200" baseline="0">
              <a:solidFill>
                <a:schemeClr val="dk1">
                  <a:lumMod val="75000"/>
                  <a:lumOff val="25000"/>
                </a:schemeClr>
              </a:solidFill>
              <a:latin typeface="+mn-lt"/>
              <a:ea typeface="+mn-ea"/>
              <a:cs typeface="+mn-cs"/>
            </a:defRPr>
          </a:pPr>
          <a:endParaRPr lang="es-PE"/>
        </a:p>
      </c:txPr>
    </c:legend>
    <c:plotVisOnly val="1"/>
    <c:dispBlanksAs val="gap"/>
    <c:showDLblsOverMax val="0"/>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a:latin typeface="Times New Roman" panose="02020603050405020304" pitchFamily="18" charset="0"/>
                <a:cs typeface="Times New Roman" panose="02020603050405020304" pitchFamily="18" charset="0"/>
              </a:defRPr>
            </a:pPr>
            <a:r>
              <a:rPr lang="en-US" sz="1000">
                <a:latin typeface="Times New Roman" panose="02020603050405020304" pitchFamily="18" charset="0"/>
                <a:cs typeface="Times New Roman" panose="02020603050405020304" pitchFamily="18" charset="0"/>
              </a:rPr>
              <a:t>Porcentaje de representatividad - Requisitos de Operación</a:t>
            </a:r>
          </a:p>
        </c:rich>
      </c:tx>
      <c:overlay val="0"/>
    </c:title>
    <c:autoTitleDeleted val="0"/>
    <c:plotArea>
      <c:layout/>
      <c:pieChart>
        <c:varyColors val="1"/>
        <c:ser>
          <c:idx val="0"/>
          <c:order val="0"/>
          <c:spPr>
            <a:ln>
              <a:prstDash val="solid"/>
            </a:ln>
          </c:spPr>
          <c:dLbls>
            <c:spPr>
              <a:noFill/>
              <a:ln>
                <a:noFill/>
                <a:prstDash val="solid"/>
              </a:ln>
            </c:spPr>
            <c:showLegendKey val="0"/>
            <c:showVal val="0"/>
            <c:showCatName val="0"/>
            <c:showSerName val="0"/>
            <c:showPercent val="1"/>
            <c:showBubbleSize val="0"/>
            <c:showLeaderLines val="1"/>
            <c:extLst>
              <c:ext xmlns:c15="http://schemas.microsoft.com/office/drawing/2012/chart" uri="{CE6537A1-D6FC-4f65-9D91-7224C49458BB}"/>
            </c:extLst>
          </c:dLbls>
          <c:cat>
            <c:strRef>
              <c:f>'ANÁLISIS 8'!$B$11:$B$13</c:f>
              <c:strCache>
                <c:ptCount val="3"/>
                <c:pt idx="0">
                  <c:v>8.1 Planificación y control operacional</c:v>
                </c:pt>
                <c:pt idx="1">
                  <c:v>8.2 Análisis de riesgos de seguridad de la información</c:v>
                </c:pt>
                <c:pt idx="2">
                  <c:v>8.3 Tratamiento de riesgos</c:v>
                </c:pt>
              </c:strCache>
            </c:strRef>
          </c:cat>
          <c:val>
            <c:numRef>
              <c:f>'ANÁLISIS 8'!$I$11:$I$13</c:f>
              <c:numCache>
                <c:formatCode>#,##0</c:formatCode>
                <c:ptCount val="3"/>
                <c:pt idx="0">
                  <c:v>0</c:v>
                </c:pt>
                <c:pt idx="1">
                  <c:v>0</c:v>
                </c:pt>
                <c:pt idx="2">
                  <c:v>0</c:v>
                </c:pt>
              </c:numCache>
            </c:numRef>
          </c:val>
          <c:extLst>
            <c:ext xmlns:c16="http://schemas.microsoft.com/office/drawing/2014/chart" uri="{C3380CC4-5D6E-409C-BE32-E72D297353CC}">
              <c16:uniqueId val="{00000000-49C4-43C8-8062-890E7A2DEE6E}"/>
            </c:ext>
          </c:extLst>
        </c:ser>
        <c:dLbls>
          <c:showLegendKey val="0"/>
          <c:showVal val="0"/>
          <c:showCatName val="0"/>
          <c:showSerName val="0"/>
          <c:showPercent val="1"/>
          <c:showBubbleSize val="0"/>
          <c:showLeaderLines val="1"/>
        </c:dLbls>
        <c:firstSliceAng val="0"/>
      </c:pieChart>
    </c:plotArea>
    <c:legend>
      <c:legendPos val="r"/>
      <c:layout>
        <c:manualLayout>
          <c:xMode val="edge"/>
          <c:yMode val="edge"/>
          <c:x val="0.65250757015086125"/>
          <c:y val="7.8140596549306357E-2"/>
          <c:w val="0.33568875692851702"/>
          <c:h val="0.92185940345069362"/>
        </c:manualLayout>
      </c:layout>
      <c:overlay val="0"/>
      <c:txPr>
        <a:bodyPr/>
        <a:lstStyle/>
        <a:p>
          <a:pPr>
            <a:defRPr kern="600" baseline="0"/>
          </a:pPr>
          <a:endParaRPr lang="es-PE"/>
        </a:p>
      </c:txPr>
    </c:legend>
    <c:plotVisOnly val="1"/>
    <c:dispBlanksAs val="gap"/>
    <c:showDLblsOverMax val="0"/>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defRPr sz="1000" b="1" i="0" strike="noStrike" kern="1200" baseline="0">
                <a:solidFill>
                  <a:sysClr val="windowText" lastClr="000000">
                    <a:lumOff val="25000"/>
                    <a:lumMod val="75000"/>
                  </a:sysClr>
                </a:solidFill>
                <a:latin typeface="Times New Roman" panose="02020603050405020304" pitchFamily="18" charset="0"/>
                <a:ea typeface="+mn-ea"/>
                <a:cs typeface="Times New Roman" panose="02020603050405020304" pitchFamily="18" charset="0"/>
              </a:defRPr>
            </a:pPr>
            <a:r>
              <a:rPr lang="es-PE" sz="1000" b="1">
                <a:latin typeface="Times New Roman" panose="02020603050405020304" pitchFamily="18" charset="0"/>
                <a:cs typeface="Times New Roman" panose="02020603050405020304" pitchFamily="18" charset="0"/>
              </a:rPr>
              <a:t>Porcentaje de valores de cumplimiento y numerales de CLÁUSULA 8</a:t>
            </a:r>
            <a:endParaRPr lang="es-PE" sz="1000">
              <a:latin typeface="Times New Roman" panose="02020603050405020304" pitchFamily="18" charset="0"/>
              <a:cs typeface="Times New Roman" panose="02020603050405020304" pitchFamily="18" charset="0"/>
            </a:endParaRPr>
          </a:p>
          <a:p>
            <a:pPr marL="0" marR="0" lvl="0" indent="0" algn="ctr" defTabSz="914400" rtl="0" eaLnBrk="1" fontAlgn="auto" latinLnBrk="0" hangingPunct="1">
              <a:defRPr sz="1000" b="1" i="0" strike="noStrike" kern="1200" baseline="0">
                <a:solidFill>
                  <a:sysClr val="windowText" lastClr="000000">
                    <a:lumOff val="25000"/>
                    <a:lumMod val="75000"/>
                  </a:sysClr>
                </a:solidFill>
                <a:latin typeface="Times New Roman" panose="02020603050405020304" pitchFamily="18" charset="0"/>
                <a:ea typeface="+mn-ea"/>
                <a:cs typeface="Times New Roman" panose="02020603050405020304" pitchFamily="18" charset="0"/>
              </a:defRPr>
            </a:pPr>
            <a:r>
              <a:rPr lang="es-PE" sz="1000">
                <a:latin typeface="Times New Roman" panose="02020603050405020304" pitchFamily="18" charset="0"/>
                <a:cs typeface="Times New Roman" panose="02020603050405020304" pitchFamily="18" charset="0"/>
              </a:rPr>
              <a:t> </a:t>
            </a:r>
          </a:p>
        </c:rich>
      </c:tx>
      <c:layout>
        <c:manualLayout>
          <c:xMode val="edge"/>
          <c:yMode val="edge"/>
          <c:x val="0.20248040683019705"/>
          <c:y val="2.8668933761469454E-2"/>
        </c:manualLayout>
      </c:layout>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a:noFill/>
                <a:prstDash val="solid"/>
              </a:ln>
            </c:spPr>
            <c:extLst>
              <c:ext xmlns:c16="http://schemas.microsoft.com/office/drawing/2014/chart" uri="{C3380CC4-5D6E-409C-BE32-E72D297353CC}">
                <c16:uniqueId val="{00000001-28A0-4D50-8832-27611CAE4CC9}"/>
              </c:ext>
            </c:extLst>
          </c:dPt>
          <c:dPt>
            <c:idx val="1"/>
            <c:bubble3D val="0"/>
            <c:spPr>
              <a:solidFill>
                <a:schemeClr val="accent2"/>
              </a:solidFill>
              <a:ln>
                <a:noFill/>
                <a:prstDash val="solid"/>
              </a:ln>
            </c:spPr>
            <c:extLst>
              <c:ext xmlns:c16="http://schemas.microsoft.com/office/drawing/2014/chart" uri="{C3380CC4-5D6E-409C-BE32-E72D297353CC}">
                <c16:uniqueId val="{00000003-28A0-4D50-8832-27611CAE4CC9}"/>
              </c:ext>
            </c:extLst>
          </c:dPt>
          <c:dPt>
            <c:idx val="2"/>
            <c:bubble3D val="0"/>
            <c:spPr>
              <a:solidFill>
                <a:schemeClr val="accent3"/>
              </a:solidFill>
              <a:ln>
                <a:noFill/>
                <a:prstDash val="solid"/>
              </a:ln>
            </c:spPr>
            <c:extLst>
              <c:ext xmlns:c16="http://schemas.microsoft.com/office/drawing/2014/chart" uri="{C3380CC4-5D6E-409C-BE32-E72D297353CC}">
                <c16:uniqueId val="{00000005-28A0-4D50-8832-27611CAE4CC9}"/>
              </c:ext>
            </c:extLst>
          </c:dPt>
          <c:dPt>
            <c:idx val="3"/>
            <c:bubble3D val="0"/>
            <c:spPr>
              <a:solidFill>
                <a:schemeClr val="accent4"/>
              </a:solidFill>
              <a:ln>
                <a:noFill/>
                <a:prstDash val="solid"/>
              </a:ln>
            </c:spPr>
            <c:extLst>
              <c:ext xmlns:c16="http://schemas.microsoft.com/office/drawing/2014/chart" uri="{C3380CC4-5D6E-409C-BE32-E72D297353CC}">
                <c16:uniqueId val="{00000007-28A0-4D50-8832-27611CAE4CC9}"/>
              </c:ext>
            </c:extLst>
          </c:dPt>
          <c:dPt>
            <c:idx val="4"/>
            <c:bubble3D val="0"/>
            <c:spPr>
              <a:solidFill>
                <a:schemeClr val="accent5"/>
              </a:solidFill>
              <a:ln>
                <a:noFill/>
                <a:prstDash val="solid"/>
              </a:ln>
            </c:spPr>
            <c:extLst>
              <c:ext xmlns:c16="http://schemas.microsoft.com/office/drawing/2014/chart" uri="{C3380CC4-5D6E-409C-BE32-E72D297353CC}">
                <c16:uniqueId val="{00000009-28A0-4D50-8832-27611CAE4CC9}"/>
              </c:ext>
            </c:extLst>
          </c:dPt>
          <c:dLbls>
            <c:spPr>
              <a:pattFill prst="pct75">
                <a:fgClr>
                  <a:schemeClr val="dk1">
                    <a:lumMod val="75000"/>
                    <a:lumOff val="25000"/>
                  </a:schemeClr>
                </a:fgClr>
                <a:bgClr>
                  <a:schemeClr val="dk1">
                    <a:lumMod val="65000"/>
                    <a:lumOff val="35000"/>
                  </a:scheme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s-PE"/>
              </a:p>
            </c:txPr>
            <c:showLegendKey val="0"/>
            <c:showVal val="0"/>
            <c:showCatName val="0"/>
            <c:showSerName val="0"/>
            <c:showPercent val="1"/>
            <c:showBubbleSize val="0"/>
            <c:showLeaderLines val="1"/>
            <c:extLst>
              <c:ext xmlns:c15="http://schemas.microsoft.com/office/drawing/2012/chart" uri="{CE6537A1-D6FC-4f65-9D91-7224C49458BB}"/>
            </c:extLst>
          </c:dLbls>
          <c:cat>
            <c:strRef>
              <c:f>'ANÁLISIS 8'!$C$9:$G$9</c:f>
              <c:strCache>
                <c:ptCount val="5"/>
                <c:pt idx="0">
                  <c:v>0% -No documentado / No existente</c:v>
                </c:pt>
                <c:pt idx="1">
                  <c:v>25% - Aplicado / No documentado</c:v>
                </c:pt>
                <c:pt idx="2">
                  <c:v>50%  - Documentado / No aplicado</c:v>
                </c:pt>
                <c:pt idx="3">
                  <c:v>75% - Aplicado y documentado</c:v>
                </c:pt>
                <c:pt idx="4">
                  <c:v>100% - Aplicado, documentado y controlado</c:v>
                </c:pt>
              </c:strCache>
            </c:strRef>
          </c:cat>
          <c:val>
            <c:numRef>
              <c:f>'ANÁLISIS 8'!$C$14:$G$14</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A-28A0-4D50-8832-27611CAE4CC9}"/>
            </c:ext>
          </c:extLst>
        </c:ser>
        <c:dLbls>
          <c:showLegendKey val="0"/>
          <c:showVal val="0"/>
          <c:showCatName val="0"/>
          <c:showSerName val="0"/>
          <c:showPercent val="1"/>
          <c:showBubbleSize val="0"/>
          <c:showLeaderLines val="1"/>
        </c:dLbls>
        <c:firstSliceAng val="0"/>
      </c:pieChart>
    </c:plotArea>
    <c:legend>
      <c:legendPos val="r"/>
      <c:overlay val="0"/>
    </c:legend>
    <c:plotVisOnly val="1"/>
    <c:dispBlanksAs val="gap"/>
    <c:showDLblsOverMax val="0"/>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a:latin typeface="Times New Roman" panose="02020603050405020304" pitchFamily="18" charset="0"/>
                <a:cs typeface="Times New Roman" panose="02020603050405020304" pitchFamily="18" charset="0"/>
              </a:defRPr>
            </a:pPr>
            <a:r>
              <a:rPr lang="en-US" sz="1000">
                <a:latin typeface="Times New Roman" panose="02020603050405020304" pitchFamily="18" charset="0"/>
                <a:cs typeface="Times New Roman" panose="02020603050405020304" pitchFamily="18" charset="0"/>
              </a:rPr>
              <a:t>Porcentaje de representatividad-Requisitos de Evaluación de Desempeño</a:t>
            </a:r>
          </a:p>
        </c:rich>
      </c:tx>
      <c:overlay val="0"/>
    </c:title>
    <c:autoTitleDeleted val="0"/>
    <c:plotArea>
      <c:layout/>
      <c:pieChart>
        <c:varyColors val="1"/>
        <c:ser>
          <c:idx val="0"/>
          <c:order val="0"/>
          <c:spPr>
            <a:ln>
              <a:prstDash val="solid"/>
            </a:ln>
          </c:spPr>
          <c:dLbls>
            <c:spPr>
              <a:noFill/>
              <a:ln>
                <a:noFill/>
                <a:prstDash val="solid"/>
              </a:ln>
            </c:spPr>
            <c:showLegendKey val="0"/>
            <c:showVal val="0"/>
            <c:showCatName val="0"/>
            <c:showSerName val="0"/>
            <c:showPercent val="1"/>
            <c:showBubbleSize val="0"/>
            <c:showLeaderLines val="1"/>
            <c:extLst>
              <c:ext xmlns:c15="http://schemas.microsoft.com/office/drawing/2012/chart" uri="{CE6537A1-D6FC-4f65-9D91-7224C49458BB}"/>
            </c:extLst>
          </c:dLbls>
          <c:cat>
            <c:strRef>
              <c:f>'ANÁLISIS 9'!$B$13:$B$15</c:f>
              <c:strCache>
                <c:ptCount val="3"/>
                <c:pt idx="0">
                  <c:v>9.1 Seguimiento, medición, análisis y evaluación</c:v>
                </c:pt>
                <c:pt idx="1">
                  <c:v>9.2 Auditoría interna</c:v>
                </c:pt>
                <c:pt idx="2">
                  <c:v>9.3 Revisión por la dirección</c:v>
                </c:pt>
              </c:strCache>
            </c:strRef>
          </c:cat>
          <c:val>
            <c:numRef>
              <c:f>'ANÁLISIS 9'!$I$13:$I$15</c:f>
              <c:numCache>
                <c:formatCode>#,##0</c:formatCode>
                <c:ptCount val="3"/>
                <c:pt idx="0">
                  <c:v>0</c:v>
                </c:pt>
                <c:pt idx="1">
                  <c:v>0</c:v>
                </c:pt>
                <c:pt idx="2">
                  <c:v>0</c:v>
                </c:pt>
              </c:numCache>
            </c:numRef>
          </c:val>
          <c:extLst>
            <c:ext xmlns:c16="http://schemas.microsoft.com/office/drawing/2014/chart" uri="{C3380CC4-5D6E-409C-BE32-E72D297353CC}">
              <c16:uniqueId val="{00000000-F201-4A88-B7BF-440146B91646}"/>
            </c:ext>
          </c:extLst>
        </c:ser>
        <c:dLbls>
          <c:showLegendKey val="0"/>
          <c:showVal val="0"/>
          <c:showCatName val="0"/>
          <c:showSerName val="0"/>
          <c:showPercent val="1"/>
          <c:showBubbleSize val="0"/>
          <c:showLeaderLines val="1"/>
        </c:dLbls>
        <c:firstSliceAng val="0"/>
      </c:pieChart>
    </c:plotArea>
    <c:legend>
      <c:legendPos val="r"/>
      <c:overlay val="0"/>
    </c:legend>
    <c:plotVisOnly val="1"/>
    <c:dispBlanksAs val="gap"/>
    <c:showDLblsOverMax val="0"/>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defRPr sz="1000" b="1" i="0" strike="noStrike" kern="1200" baseline="0">
                <a:solidFill>
                  <a:sysClr val="windowText" lastClr="000000">
                    <a:lumOff val="25000"/>
                    <a:lumMod val="75000"/>
                  </a:sysClr>
                </a:solidFill>
                <a:latin typeface="Times New Roman" panose="02020603050405020304" pitchFamily="18" charset="0"/>
                <a:ea typeface="+mn-ea"/>
                <a:cs typeface="Times New Roman" panose="02020603050405020304" pitchFamily="18" charset="0"/>
              </a:defRPr>
            </a:pPr>
            <a:r>
              <a:rPr lang="es-PE" sz="1000" b="1">
                <a:latin typeface="Times New Roman" panose="02020603050405020304" pitchFamily="18" charset="0"/>
                <a:cs typeface="Times New Roman" panose="02020603050405020304" pitchFamily="18" charset="0"/>
              </a:rPr>
              <a:t>Porcentaje de valores de cumplimiento y numerales de CLÁUSULA 9</a:t>
            </a:r>
            <a:endParaRPr lang="es-PE" sz="1000">
              <a:latin typeface="Times New Roman" panose="02020603050405020304" pitchFamily="18" charset="0"/>
              <a:cs typeface="Times New Roman" panose="02020603050405020304" pitchFamily="18" charset="0"/>
            </a:endParaRPr>
          </a:p>
          <a:p>
            <a:pPr marL="0" marR="0" lvl="0" indent="0" algn="ctr" defTabSz="914400" rtl="0" eaLnBrk="1" fontAlgn="auto" latinLnBrk="0" hangingPunct="1">
              <a:defRPr sz="1000" b="1" i="0" strike="noStrike" kern="1200" baseline="0">
                <a:solidFill>
                  <a:sysClr val="windowText" lastClr="000000">
                    <a:lumOff val="25000"/>
                    <a:lumMod val="75000"/>
                  </a:sysClr>
                </a:solidFill>
                <a:latin typeface="Times New Roman" panose="02020603050405020304" pitchFamily="18" charset="0"/>
                <a:ea typeface="+mn-ea"/>
                <a:cs typeface="Times New Roman" panose="02020603050405020304" pitchFamily="18" charset="0"/>
              </a:defRPr>
            </a:pPr>
            <a:r>
              <a:rPr lang="es-PE" sz="1000">
                <a:latin typeface="Times New Roman" panose="02020603050405020304" pitchFamily="18" charset="0"/>
                <a:cs typeface="Times New Roman" panose="02020603050405020304" pitchFamily="18" charset="0"/>
              </a:rPr>
              <a:t> </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a:noFill/>
                <a:prstDash val="solid"/>
              </a:ln>
            </c:spPr>
            <c:extLst>
              <c:ext xmlns:c16="http://schemas.microsoft.com/office/drawing/2014/chart" uri="{C3380CC4-5D6E-409C-BE32-E72D297353CC}">
                <c16:uniqueId val="{00000001-5175-4A53-930F-3E0BD23FC338}"/>
              </c:ext>
            </c:extLst>
          </c:dPt>
          <c:dPt>
            <c:idx val="1"/>
            <c:bubble3D val="0"/>
            <c:spPr>
              <a:solidFill>
                <a:schemeClr val="accent2"/>
              </a:solidFill>
              <a:ln>
                <a:noFill/>
                <a:prstDash val="solid"/>
              </a:ln>
            </c:spPr>
            <c:extLst>
              <c:ext xmlns:c16="http://schemas.microsoft.com/office/drawing/2014/chart" uri="{C3380CC4-5D6E-409C-BE32-E72D297353CC}">
                <c16:uniqueId val="{00000003-5175-4A53-930F-3E0BD23FC338}"/>
              </c:ext>
            </c:extLst>
          </c:dPt>
          <c:dPt>
            <c:idx val="2"/>
            <c:bubble3D val="0"/>
            <c:spPr>
              <a:solidFill>
                <a:schemeClr val="accent3"/>
              </a:solidFill>
              <a:ln>
                <a:noFill/>
                <a:prstDash val="solid"/>
              </a:ln>
            </c:spPr>
            <c:extLst>
              <c:ext xmlns:c16="http://schemas.microsoft.com/office/drawing/2014/chart" uri="{C3380CC4-5D6E-409C-BE32-E72D297353CC}">
                <c16:uniqueId val="{00000005-5175-4A53-930F-3E0BD23FC338}"/>
              </c:ext>
            </c:extLst>
          </c:dPt>
          <c:dPt>
            <c:idx val="3"/>
            <c:bubble3D val="0"/>
            <c:spPr>
              <a:solidFill>
                <a:schemeClr val="accent4"/>
              </a:solidFill>
              <a:ln>
                <a:noFill/>
                <a:prstDash val="solid"/>
              </a:ln>
            </c:spPr>
            <c:extLst>
              <c:ext xmlns:c16="http://schemas.microsoft.com/office/drawing/2014/chart" uri="{C3380CC4-5D6E-409C-BE32-E72D297353CC}">
                <c16:uniqueId val="{00000007-5175-4A53-930F-3E0BD23FC338}"/>
              </c:ext>
            </c:extLst>
          </c:dPt>
          <c:dPt>
            <c:idx val="4"/>
            <c:bubble3D val="0"/>
            <c:spPr>
              <a:solidFill>
                <a:schemeClr val="accent5"/>
              </a:solidFill>
              <a:ln>
                <a:noFill/>
                <a:prstDash val="solid"/>
              </a:ln>
            </c:spPr>
            <c:extLst>
              <c:ext xmlns:c16="http://schemas.microsoft.com/office/drawing/2014/chart" uri="{C3380CC4-5D6E-409C-BE32-E72D297353CC}">
                <c16:uniqueId val="{00000009-5175-4A53-930F-3E0BD23FC338}"/>
              </c:ext>
            </c:extLst>
          </c:dPt>
          <c:dLbls>
            <c:spPr>
              <a:pattFill prst="pct75">
                <a:fgClr>
                  <a:schemeClr val="dk1">
                    <a:lumMod val="75000"/>
                    <a:lumOff val="25000"/>
                  </a:schemeClr>
                </a:fgClr>
                <a:bgClr>
                  <a:schemeClr val="dk1">
                    <a:lumMod val="65000"/>
                    <a:lumOff val="35000"/>
                  </a:scheme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s-PE"/>
              </a:p>
            </c:txPr>
            <c:showLegendKey val="0"/>
            <c:showVal val="0"/>
            <c:showCatName val="0"/>
            <c:showSerName val="0"/>
            <c:showPercent val="1"/>
            <c:showBubbleSize val="0"/>
            <c:showLeaderLines val="1"/>
            <c:extLst>
              <c:ext xmlns:c15="http://schemas.microsoft.com/office/drawing/2012/chart" uri="{CE6537A1-D6FC-4f65-9D91-7224C49458BB}"/>
            </c:extLst>
          </c:dLbls>
          <c:cat>
            <c:strRef>
              <c:f>'ANÁLISIS 9'!$C$11:$G$11</c:f>
              <c:strCache>
                <c:ptCount val="5"/>
                <c:pt idx="0">
                  <c:v>0% -No documentado / No existente</c:v>
                </c:pt>
                <c:pt idx="1">
                  <c:v>25% - Aplicado / No documentado</c:v>
                </c:pt>
                <c:pt idx="2">
                  <c:v>50%  - Documentado / No aplicado</c:v>
                </c:pt>
                <c:pt idx="3">
                  <c:v>75% - Aplicado y documentado</c:v>
                </c:pt>
                <c:pt idx="4">
                  <c:v>100% - Aplicado, documentado y controlado</c:v>
                </c:pt>
              </c:strCache>
            </c:strRef>
          </c:cat>
          <c:val>
            <c:numRef>
              <c:f>'ANÁLISIS 9'!$C$16:$G$16</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A-5175-4A53-930F-3E0BD23FC338}"/>
            </c:ext>
          </c:extLst>
        </c:ser>
        <c:dLbls>
          <c:showLegendKey val="0"/>
          <c:showVal val="0"/>
          <c:showCatName val="0"/>
          <c:showSerName val="0"/>
          <c:showPercent val="1"/>
          <c:showBubbleSize val="0"/>
          <c:showLeaderLines val="1"/>
        </c:dLbls>
        <c:firstSliceAng val="0"/>
      </c:pieChart>
    </c:plotArea>
    <c:legend>
      <c:legendPos val="r"/>
      <c:overlay val="0"/>
      <c:spPr>
        <a:solidFill>
          <a:schemeClr val="lt1">
            <a:alpha val="39000"/>
            <a:lumMod val="95000"/>
          </a:schemeClr>
        </a:solidFill>
        <a:ln>
          <a:noFill/>
          <a:prstDash val="solid"/>
        </a:ln>
      </c:spPr>
      <c:txPr>
        <a:bodyPr rot="0" spcFirstLastPara="1" vertOverflow="ellipsis" vert="horz" wrap="square" anchor="ctr" anchorCtr="1"/>
        <a:lstStyle/>
        <a:p>
          <a:pPr>
            <a:defRPr sz="900" b="0" i="0" strike="noStrike" kern="1200" baseline="0">
              <a:solidFill>
                <a:schemeClr val="dk1">
                  <a:lumMod val="75000"/>
                  <a:lumOff val="25000"/>
                </a:schemeClr>
              </a:solidFill>
              <a:latin typeface="+mn-lt"/>
              <a:ea typeface="+mn-ea"/>
              <a:cs typeface="+mn-cs"/>
            </a:defRPr>
          </a:pPr>
          <a:endParaRPr lang="es-PE"/>
        </a:p>
      </c:txPr>
    </c:legend>
    <c:plotVisOnly val="1"/>
    <c:dispBlanksAs val="gap"/>
    <c:showDLblsOverMax val="0"/>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latin typeface="Times New Roman" panose="02020603050405020304" pitchFamily="18" charset="0"/>
                <a:cs typeface="Times New Roman" panose="02020603050405020304" pitchFamily="18" charset="0"/>
              </a:defRPr>
            </a:pPr>
            <a:r>
              <a:rPr lang="es-PE" sz="1100">
                <a:latin typeface="Times New Roman" panose="02020603050405020304" pitchFamily="18" charset="0"/>
                <a:cs typeface="Times New Roman" panose="02020603050405020304" pitchFamily="18" charset="0"/>
              </a:rPr>
              <a:t>Porcentaje de representatividad</a:t>
            </a:r>
            <a:r>
              <a:rPr lang="es-PE" sz="1100" baseline="0">
                <a:latin typeface="Times New Roman" panose="02020603050405020304" pitchFamily="18" charset="0"/>
                <a:cs typeface="Times New Roman" panose="02020603050405020304" pitchFamily="18" charset="0"/>
              </a:rPr>
              <a:t> - Requisitos de Mejora</a:t>
            </a:r>
          </a:p>
        </c:rich>
      </c:tx>
      <c:overlay val="0"/>
    </c:title>
    <c:autoTitleDeleted val="0"/>
    <c:plotArea>
      <c:layout>
        <c:manualLayout>
          <c:layoutTarget val="inner"/>
          <c:xMode val="edge"/>
          <c:yMode val="edge"/>
          <c:x val="0.1333714547817445"/>
          <c:y val="0.17592815323975253"/>
          <c:w val="0.45905644318732003"/>
          <c:h val="0.71086723603121715"/>
        </c:manualLayout>
      </c:layout>
      <c:pieChart>
        <c:varyColors val="1"/>
        <c:ser>
          <c:idx val="0"/>
          <c:order val="0"/>
          <c:spPr>
            <a:ln>
              <a:prstDash val="solid"/>
            </a:ln>
          </c:spPr>
          <c:dLbls>
            <c:spPr>
              <a:noFill/>
              <a:ln>
                <a:noFill/>
                <a:prstDash val="solid"/>
              </a:ln>
            </c:spPr>
            <c:showLegendKey val="0"/>
            <c:showVal val="0"/>
            <c:showCatName val="0"/>
            <c:showSerName val="0"/>
            <c:showPercent val="1"/>
            <c:showBubbleSize val="0"/>
            <c:showLeaderLines val="1"/>
            <c:extLst>
              <c:ext xmlns:c15="http://schemas.microsoft.com/office/drawing/2012/chart" uri="{CE6537A1-D6FC-4f65-9D91-7224C49458BB}"/>
            </c:extLst>
          </c:dLbls>
          <c:cat>
            <c:strRef>
              <c:f>'ANÁLISIS 10'!$B$12:$B$13</c:f>
              <c:strCache>
                <c:ptCount val="2"/>
                <c:pt idx="0">
                  <c:v>10.1 Generalidades</c:v>
                </c:pt>
                <c:pt idx="1">
                  <c:v>10.2 No conformidad y acción correctiva</c:v>
                </c:pt>
              </c:strCache>
            </c:strRef>
          </c:cat>
          <c:val>
            <c:numRef>
              <c:f>'ANÁLISIS 10'!$I$12:$I$13</c:f>
              <c:numCache>
                <c:formatCode>#,##0</c:formatCode>
                <c:ptCount val="2"/>
                <c:pt idx="0">
                  <c:v>0</c:v>
                </c:pt>
                <c:pt idx="1">
                  <c:v>0</c:v>
                </c:pt>
              </c:numCache>
            </c:numRef>
          </c:val>
          <c:extLst>
            <c:ext xmlns:c16="http://schemas.microsoft.com/office/drawing/2014/chart" uri="{C3380CC4-5D6E-409C-BE32-E72D297353CC}">
              <c16:uniqueId val="{00000000-B028-4A3F-A55C-EAF7344A0D74}"/>
            </c:ext>
          </c:extLst>
        </c:ser>
        <c:dLbls>
          <c:showLegendKey val="0"/>
          <c:showVal val="0"/>
          <c:showCatName val="0"/>
          <c:showSerName val="0"/>
          <c:showPercent val="1"/>
          <c:showBubbleSize val="0"/>
          <c:showLeaderLines val="1"/>
        </c:dLbls>
        <c:firstSliceAng val="0"/>
      </c:pieChart>
    </c:plotArea>
    <c:legend>
      <c:legendPos val="r"/>
      <c:overlay val="0"/>
    </c:legend>
    <c:plotVisOnly val="1"/>
    <c:dispBlanksAs val="gap"/>
    <c:showDLblsOverMax val="0"/>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defRPr sz="1000" b="1" i="0" strike="noStrike" kern="1200" baseline="0">
                <a:solidFill>
                  <a:sysClr val="windowText" lastClr="000000">
                    <a:lumOff val="25000"/>
                    <a:lumMod val="75000"/>
                  </a:sysClr>
                </a:solidFill>
                <a:latin typeface="Times New Roman" panose="02020603050405020304" pitchFamily="18" charset="0"/>
                <a:ea typeface="+mn-ea"/>
                <a:cs typeface="Times New Roman" panose="02020603050405020304" pitchFamily="18" charset="0"/>
              </a:defRPr>
            </a:pPr>
            <a:r>
              <a:rPr lang="es-PE" sz="1000" b="1">
                <a:latin typeface="Times New Roman" panose="02020603050405020304" pitchFamily="18" charset="0"/>
                <a:cs typeface="Times New Roman" panose="02020603050405020304" pitchFamily="18" charset="0"/>
              </a:rPr>
              <a:t>Porcentaje de valores de cumplimiento y numerales de CLÁUSULA 10</a:t>
            </a:r>
            <a:endParaRPr lang="es-PE" sz="1000">
              <a:latin typeface="Times New Roman" panose="02020603050405020304" pitchFamily="18" charset="0"/>
              <a:cs typeface="Times New Roman" panose="02020603050405020304" pitchFamily="18" charset="0"/>
            </a:endParaRPr>
          </a:p>
          <a:p>
            <a:pPr marL="0" marR="0" lvl="0" indent="0" algn="ctr" defTabSz="914400" rtl="0" eaLnBrk="1" fontAlgn="auto" latinLnBrk="0" hangingPunct="1">
              <a:defRPr sz="1000" b="1" i="0" strike="noStrike" kern="1200" baseline="0">
                <a:solidFill>
                  <a:sysClr val="windowText" lastClr="000000">
                    <a:lumOff val="25000"/>
                    <a:lumMod val="75000"/>
                  </a:sysClr>
                </a:solidFill>
                <a:latin typeface="Times New Roman" panose="02020603050405020304" pitchFamily="18" charset="0"/>
                <a:ea typeface="+mn-ea"/>
                <a:cs typeface="Times New Roman" panose="02020603050405020304" pitchFamily="18" charset="0"/>
              </a:defRPr>
            </a:pPr>
            <a:r>
              <a:rPr lang="es-PE" sz="1000">
                <a:latin typeface="Times New Roman" panose="02020603050405020304" pitchFamily="18" charset="0"/>
                <a:cs typeface="Times New Roman" panose="02020603050405020304" pitchFamily="18" charset="0"/>
              </a:rPr>
              <a:t> </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a:noFill/>
                <a:prstDash val="solid"/>
              </a:ln>
            </c:spPr>
            <c:extLst>
              <c:ext xmlns:c16="http://schemas.microsoft.com/office/drawing/2014/chart" uri="{C3380CC4-5D6E-409C-BE32-E72D297353CC}">
                <c16:uniqueId val="{00000001-E012-4D5E-A7CE-DE09C31E8253}"/>
              </c:ext>
            </c:extLst>
          </c:dPt>
          <c:dPt>
            <c:idx val="1"/>
            <c:bubble3D val="0"/>
            <c:spPr>
              <a:solidFill>
                <a:schemeClr val="accent2"/>
              </a:solidFill>
              <a:ln>
                <a:noFill/>
                <a:prstDash val="solid"/>
              </a:ln>
            </c:spPr>
            <c:extLst>
              <c:ext xmlns:c16="http://schemas.microsoft.com/office/drawing/2014/chart" uri="{C3380CC4-5D6E-409C-BE32-E72D297353CC}">
                <c16:uniqueId val="{00000003-E012-4D5E-A7CE-DE09C31E8253}"/>
              </c:ext>
            </c:extLst>
          </c:dPt>
          <c:dPt>
            <c:idx val="2"/>
            <c:bubble3D val="0"/>
            <c:spPr>
              <a:solidFill>
                <a:schemeClr val="accent3"/>
              </a:solidFill>
              <a:ln>
                <a:noFill/>
                <a:prstDash val="solid"/>
              </a:ln>
            </c:spPr>
            <c:extLst>
              <c:ext xmlns:c16="http://schemas.microsoft.com/office/drawing/2014/chart" uri="{C3380CC4-5D6E-409C-BE32-E72D297353CC}">
                <c16:uniqueId val="{00000005-E012-4D5E-A7CE-DE09C31E8253}"/>
              </c:ext>
            </c:extLst>
          </c:dPt>
          <c:dPt>
            <c:idx val="3"/>
            <c:bubble3D val="0"/>
            <c:spPr>
              <a:solidFill>
                <a:schemeClr val="accent4"/>
              </a:solidFill>
              <a:ln>
                <a:noFill/>
                <a:prstDash val="solid"/>
              </a:ln>
            </c:spPr>
            <c:extLst>
              <c:ext xmlns:c16="http://schemas.microsoft.com/office/drawing/2014/chart" uri="{C3380CC4-5D6E-409C-BE32-E72D297353CC}">
                <c16:uniqueId val="{00000007-E012-4D5E-A7CE-DE09C31E8253}"/>
              </c:ext>
            </c:extLst>
          </c:dPt>
          <c:dPt>
            <c:idx val="4"/>
            <c:bubble3D val="0"/>
            <c:spPr>
              <a:solidFill>
                <a:schemeClr val="accent5"/>
              </a:solidFill>
              <a:ln>
                <a:noFill/>
                <a:prstDash val="solid"/>
              </a:ln>
            </c:spPr>
            <c:extLst>
              <c:ext xmlns:c16="http://schemas.microsoft.com/office/drawing/2014/chart" uri="{C3380CC4-5D6E-409C-BE32-E72D297353CC}">
                <c16:uniqueId val="{00000009-E012-4D5E-A7CE-DE09C31E8253}"/>
              </c:ext>
            </c:extLst>
          </c:dPt>
          <c:dLbls>
            <c:spPr>
              <a:pattFill prst="pct75">
                <a:fgClr>
                  <a:schemeClr val="dk1">
                    <a:lumMod val="75000"/>
                    <a:lumOff val="25000"/>
                  </a:schemeClr>
                </a:fgClr>
                <a:bgClr>
                  <a:schemeClr val="dk1">
                    <a:lumMod val="65000"/>
                    <a:lumOff val="35000"/>
                  </a:scheme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s-PE"/>
              </a:p>
            </c:txPr>
            <c:showLegendKey val="0"/>
            <c:showVal val="0"/>
            <c:showCatName val="0"/>
            <c:showSerName val="0"/>
            <c:showPercent val="1"/>
            <c:showBubbleSize val="0"/>
            <c:showLeaderLines val="1"/>
            <c:extLst>
              <c:ext xmlns:c15="http://schemas.microsoft.com/office/drawing/2012/chart" uri="{CE6537A1-D6FC-4f65-9D91-7224C49458BB}"/>
            </c:extLst>
          </c:dLbls>
          <c:cat>
            <c:strRef>
              <c:f>'ANÁLISIS 10'!$C$10:$G$10</c:f>
              <c:strCache>
                <c:ptCount val="5"/>
                <c:pt idx="0">
                  <c:v>0% -No documentado / No existente</c:v>
                </c:pt>
                <c:pt idx="1">
                  <c:v>25% - Aplicado / No documentado</c:v>
                </c:pt>
                <c:pt idx="2">
                  <c:v>50%  - Documentado / No aplicado</c:v>
                </c:pt>
                <c:pt idx="3">
                  <c:v>75% - Aplicado y documentado</c:v>
                </c:pt>
                <c:pt idx="4">
                  <c:v>100% - Aplicado, documentado y controlado</c:v>
                </c:pt>
              </c:strCache>
            </c:strRef>
          </c:cat>
          <c:val>
            <c:numRef>
              <c:f>'ANÁLISIS 10'!$C$14:$G$14</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A-E012-4D5E-A7CE-DE09C31E8253}"/>
            </c:ext>
          </c:extLst>
        </c:ser>
        <c:dLbls>
          <c:showLegendKey val="0"/>
          <c:showVal val="0"/>
          <c:showCatName val="0"/>
          <c:showSerName val="0"/>
          <c:showPercent val="1"/>
          <c:showBubbleSize val="0"/>
          <c:showLeaderLines val="1"/>
        </c:dLbls>
        <c:firstSliceAng val="0"/>
      </c:pieChart>
    </c:plotArea>
    <c:legend>
      <c:legendPos val="r"/>
      <c:overlay val="0"/>
      <c:spPr>
        <a:solidFill>
          <a:schemeClr val="lt1">
            <a:alpha val="39000"/>
            <a:lumMod val="95000"/>
          </a:schemeClr>
        </a:solidFill>
        <a:ln>
          <a:noFill/>
          <a:prstDash val="solid"/>
        </a:ln>
      </c:spPr>
      <c:txPr>
        <a:bodyPr rot="0" spcFirstLastPara="1" vertOverflow="ellipsis" vert="horz" wrap="square" anchor="ctr" anchorCtr="1"/>
        <a:lstStyle/>
        <a:p>
          <a:pPr>
            <a:defRPr sz="900" b="0" i="0" strike="noStrike" kern="1200" baseline="0">
              <a:solidFill>
                <a:schemeClr val="dk1">
                  <a:lumMod val="75000"/>
                  <a:lumOff val="25000"/>
                </a:schemeClr>
              </a:solidFill>
              <a:latin typeface="+mn-lt"/>
              <a:ea typeface="+mn-ea"/>
              <a:cs typeface="+mn-cs"/>
            </a:defRPr>
          </a:pPr>
          <a:endParaRPr lang="es-PE"/>
        </a:p>
      </c:tx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11</xdr:col>
      <xdr:colOff>13137</xdr:colOff>
      <xdr:row>18</xdr:row>
      <xdr:rowOff>22857</xdr:rowOff>
    </xdr:from>
    <xdr:to>
      <xdr:col>14</xdr:col>
      <xdr:colOff>47625</xdr:colOff>
      <xdr:row>36</xdr:row>
      <xdr:rowOff>99494</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26004</xdr:colOff>
      <xdr:row>39</xdr:row>
      <xdr:rowOff>60982</xdr:rowOff>
    </xdr:from>
    <xdr:to>
      <xdr:col>14</xdr:col>
      <xdr:colOff>35720</xdr:colOff>
      <xdr:row>53</xdr:row>
      <xdr:rowOff>23812</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755536</xdr:colOff>
      <xdr:row>19</xdr:row>
      <xdr:rowOff>156143</xdr:rowOff>
    </xdr:from>
    <xdr:to>
      <xdr:col>3</xdr:col>
      <xdr:colOff>272143</xdr:colOff>
      <xdr:row>35</xdr:row>
      <xdr:rowOff>81644</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531360</xdr:colOff>
      <xdr:row>19</xdr:row>
      <xdr:rowOff>166348</xdr:rowOff>
    </xdr:from>
    <xdr:to>
      <xdr:col>10</xdr:col>
      <xdr:colOff>639536</xdr:colOff>
      <xdr:row>35</xdr:row>
      <xdr:rowOff>95251</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33336</xdr:colOff>
      <xdr:row>19</xdr:row>
      <xdr:rowOff>0</xdr:rowOff>
    </xdr:from>
    <xdr:to>
      <xdr:col>3</xdr:col>
      <xdr:colOff>190499</xdr:colOff>
      <xdr:row>35</xdr:row>
      <xdr:rowOff>47626</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416720</xdr:colOff>
      <xdr:row>19</xdr:row>
      <xdr:rowOff>23812</xdr:rowOff>
    </xdr:from>
    <xdr:to>
      <xdr:col>9</xdr:col>
      <xdr:colOff>642937</xdr:colOff>
      <xdr:row>35</xdr:row>
      <xdr:rowOff>47624</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757918</xdr:colOff>
      <xdr:row>19</xdr:row>
      <xdr:rowOff>172811</xdr:rowOff>
    </xdr:from>
    <xdr:to>
      <xdr:col>5</xdr:col>
      <xdr:colOff>81643</xdr:colOff>
      <xdr:row>37</xdr:row>
      <xdr:rowOff>149678</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380999</xdr:colOff>
      <xdr:row>20</xdr:row>
      <xdr:rowOff>27213</xdr:rowOff>
    </xdr:from>
    <xdr:to>
      <xdr:col>13</xdr:col>
      <xdr:colOff>54428</xdr:colOff>
      <xdr:row>37</xdr:row>
      <xdr:rowOff>176891</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43542</xdr:colOff>
      <xdr:row>21</xdr:row>
      <xdr:rowOff>59869</xdr:rowOff>
    </xdr:from>
    <xdr:to>
      <xdr:col>5</xdr:col>
      <xdr:colOff>136072</xdr:colOff>
      <xdr:row>39</xdr:row>
      <xdr:rowOff>95250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435429</xdr:colOff>
      <xdr:row>21</xdr:row>
      <xdr:rowOff>27215</xdr:rowOff>
    </xdr:from>
    <xdr:to>
      <xdr:col>12</xdr:col>
      <xdr:colOff>517073</xdr:colOff>
      <xdr:row>39</xdr:row>
      <xdr:rowOff>108858</xdr:rowOff>
    </xdr:to>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47625</xdr:colOff>
      <xdr:row>19</xdr:row>
      <xdr:rowOff>46265</xdr:rowOff>
    </xdr:from>
    <xdr:to>
      <xdr:col>6</xdr:col>
      <xdr:colOff>435428</xdr:colOff>
      <xdr:row>42</xdr:row>
      <xdr:rowOff>95250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544284</xdr:colOff>
      <xdr:row>18</xdr:row>
      <xdr:rowOff>149677</xdr:rowOff>
    </xdr:from>
    <xdr:to>
      <xdr:col>15</xdr:col>
      <xdr:colOff>598714</xdr:colOff>
      <xdr:row>39</xdr:row>
      <xdr:rowOff>122464</xdr:rowOff>
    </xdr:to>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48985</xdr:colOff>
      <xdr:row>20</xdr:row>
      <xdr:rowOff>59871</xdr:rowOff>
    </xdr:from>
    <xdr:to>
      <xdr:col>4</xdr:col>
      <xdr:colOff>734786</xdr:colOff>
      <xdr:row>38</xdr:row>
      <xdr:rowOff>27214</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409574</xdr:colOff>
      <xdr:row>20</xdr:row>
      <xdr:rowOff>61233</xdr:rowOff>
    </xdr:from>
    <xdr:to>
      <xdr:col>11</xdr:col>
      <xdr:colOff>503464</xdr:colOff>
      <xdr:row>38</xdr:row>
      <xdr:rowOff>1</xdr:rowOff>
    </xdr:to>
    <xdr:graphicFrame macro="">
      <xdr:nvGraphicFramePr>
        <xdr:cNvPr id="3" name="Chart 2">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20410</xdr:colOff>
      <xdr:row>20</xdr:row>
      <xdr:rowOff>1</xdr:rowOff>
    </xdr:from>
    <xdr:to>
      <xdr:col>6</xdr:col>
      <xdr:colOff>81643</xdr:colOff>
      <xdr:row>38</xdr:row>
      <xdr:rowOff>163285</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707571</xdr:colOff>
      <xdr:row>20</xdr:row>
      <xdr:rowOff>13607</xdr:rowOff>
    </xdr:from>
    <xdr:to>
      <xdr:col>13</xdr:col>
      <xdr:colOff>693964</xdr:colOff>
      <xdr:row>39</xdr:row>
      <xdr:rowOff>0</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Tema de Office">
  <a:themeElements>
    <a:clrScheme name="Austin">
      <a:dk1>
        <a:sysClr val="windowText" lastClr="000000"/>
      </a:dk1>
      <a:lt1>
        <a:sysClr val="window" lastClr="FFFFFF"/>
      </a:lt1>
      <a:dk2>
        <a:srgbClr val="3E3D2D"/>
      </a:dk2>
      <a:lt2>
        <a:srgbClr val="CAF278"/>
      </a:lt2>
      <a:accent1>
        <a:srgbClr val="94C600"/>
      </a:accent1>
      <a:accent2>
        <a:srgbClr val="71685A"/>
      </a:accent2>
      <a:accent3>
        <a:srgbClr val="FF6700"/>
      </a:accent3>
      <a:accent4>
        <a:srgbClr val="909465"/>
      </a:accent4>
      <a:accent5>
        <a:srgbClr val="956B43"/>
      </a:accent5>
      <a:accent6>
        <a:srgbClr val="FEA022"/>
      </a:accent6>
      <a:hlink>
        <a:srgbClr val="E68200"/>
      </a:hlink>
      <a:folHlink>
        <a:srgbClr val="FFA94A"/>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10"/>
  <sheetViews>
    <sheetView showGridLines="0" zoomScaleNormal="100" workbookViewId="0">
      <selection activeCell="I6" sqref="I6"/>
    </sheetView>
  </sheetViews>
  <sheetFormatPr baseColWidth="10" defaultColWidth="9.1328125" defaultRowHeight="14.25" x14ac:dyDescent="0.45"/>
  <cols>
    <col min="2" max="2" width="29.1328125" style="1" customWidth="1"/>
    <col min="3" max="3" width="41.86328125" style="1" customWidth="1"/>
    <col min="6" max="6" width="23.1328125" bestFit="1" customWidth="1"/>
    <col min="7" max="7" width="17.1328125" bestFit="1" customWidth="1"/>
  </cols>
  <sheetData>
    <row r="2" spans="2:7" ht="14.65" thickBot="1" x14ac:dyDescent="0.5"/>
    <row r="3" spans="2:7" ht="30.75" customHeight="1" thickBot="1" x14ac:dyDescent="0.5">
      <c r="B3" s="186" t="s">
        <v>0</v>
      </c>
      <c r="C3" s="187"/>
      <c r="F3" s="186" t="s">
        <v>89</v>
      </c>
      <c r="G3" s="187"/>
    </row>
    <row r="4" spans="2:7" ht="30.75" customHeight="1" thickBot="1" x14ac:dyDescent="0.5">
      <c r="B4" s="57" t="s">
        <v>1</v>
      </c>
      <c r="C4" s="58" t="s">
        <v>2</v>
      </c>
      <c r="F4" s="57" t="s">
        <v>1</v>
      </c>
      <c r="G4" s="58" t="s">
        <v>90</v>
      </c>
    </row>
    <row r="5" spans="2:7" ht="30.75" customHeight="1" x14ac:dyDescent="0.45">
      <c r="B5" s="55">
        <v>0</v>
      </c>
      <c r="C5" s="56" t="s">
        <v>3</v>
      </c>
      <c r="F5" s="55" t="s">
        <v>91</v>
      </c>
      <c r="G5" s="56" t="s">
        <v>92</v>
      </c>
    </row>
    <row r="6" spans="2:7" ht="30.75" customHeight="1" x14ac:dyDescent="0.45">
      <c r="B6" s="51">
        <v>0.25</v>
      </c>
      <c r="C6" s="52" t="s">
        <v>4</v>
      </c>
      <c r="F6" s="51" t="s">
        <v>93</v>
      </c>
      <c r="G6" s="52" t="s">
        <v>94</v>
      </c>
    </row>
    <row r="7" spans="2:7" ht="30.75" customHeight="1" x14ac:dyDescent="0.45">
      <c r="B7" s="51">
        <v>0.5</v>
      </c>
      <c r="C7" s="52" t="s">
        <v>5</v>
      </c>
      <c r="F7" s="51" t="s">
        <v>95</v>
      </c>
      <c r="G7" s="52" t="s">
        <v>96</v>
      </c>
    </row>
    <row r="8" spans="2:7" ht="30.75" customHeight="1" x14ac:dyDescent="0.45">
      <c r="B8" s="51">
        <v>0.75</v>
      </c>
      <c r="C8" s="52" t="s">
        <v>6</v>
      </c>
      <c r="F8" s="51" t="s">
        <v>97</v>
      </c>
      <c r="G8" s="52" t="s">
        <v>98</v>
      </c>
    </row>
    <row r="9" spans="2:7" ht="30.75" customHeight="1" thickBot="1" x14ac:dyDescent="0.5">
      <c r="B9" s="51">
        <v>1</v>
      </c>
      <c r="C9" s="52" t="s">
        <v>7</v>
      </c>
      <c r="F9" s="170">
        <v>1</v>
      </c>
      <c r="G9" s="172" t="s">
        <v>99</v>
      </c>
    </row>
    <row r="10" spans="2:7" ht="30.75" customHeight="1" thickBot="1" x14ac:dyDescent="0.5">
      <c r="B10" s="53" t="s">
        <v>8</v>
      </c>
      <c r="C10" s="54" t="s">
        <v>9</v>
      </c>
      <c r="F10" s="171"/>
    </row>
  </sheetData>
  <mergeCells count="2">
    <mergeCell ref="B3:C3"/>
    <mergeCell ref="F3:G3"/>
  </mergeCell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7AC64-BA1F-443E-9147-72B06DF1C7BC}">
  <dimension ref="A1:L140"/>
  <sheetViews>
    <sheetView topLeftCell="A70" zoomScale="55" zoomScaleNormal="55" workbookViewId="0">
      <selection activeCell="K91" sqref="A90:K91"/>
    </sheetView>
  </sheetViews>
  <sheetFormatPr baseColWidth="10" defaultColWidth="11.3984375" defaultRowHeight="15" x14ac:dyDescent="0.4"/>
  <cols>
    <col min="1" max="1" width="77.3984375" style="173" customWidth="1"/>
    <col min="2" max="2" width="10.59765625" style="5" customWidth="1"/>
    <col min="3" max="3" width="11.3984375" style="2" customWidth="1"/>
    <col min="4" max="4" width="11.1328125" style="2" customWidth="1"/>
    <col min="5" max="5" width="10.3984375" style="2" customWidth="1"/>
    <col min="6" max="6" width="10.73046875" style="2" customWidth="1"/>
    <col min="7" max="7" width="11.3984375" style="2" customWidth="1"/>
    <col min="8" max="8" width="25.59765625" style="2" customWidth="1"/>
    <col min="9" max="9" width="11.3984375" style="2" customWidth="1"/>
    <col min="10" max="16384" width="11.3984375" style="2"/>
  </cols>
  <sheetData>
    <row r="1" spans="1:8" ht="18.75" customHeight="1" thickBot="1" x14ac:dyDescent="0.5">
      <c r="A1" s="202" t="s">
        <v>123</v>
      </c>
      <c r="B1" s="203"/>
      <c r="C1" s="203"/>
      <c r="D1" s="203"/>
      <c r="E1" s="203"/>
      <c r="F1" s="203"/>
      <c r="G1" s="203"/>
      <c r="H1" s="203"/>
    </row>
    <row r="2" spans="1:8" ht="15.75" customHeight="1" thickTop="1" x14ac:dyDescent="0.4"/>
    <row r="3" spans="1:8" ht="15.75" customHeight="1" thickBot="1" x14ac:dyDescent="0.45">
      <c r="A3" s="174" t="s">
        <v>10</v>
      </c>
      <c r="B3" s="59"/>
      <c r="C3" s="61"/>
      <c r="D3" s="61"/>
      <c r="E3" s="61"/>
      <c r="F3" s="61"/>
      <c r="G3" s="61"/>
      <c r="H3" s="61"/>
    </row>
    <row r="4" spans="1:8" ht="15.75" customHeight="1" thickTop="1" x14ac:dyDescent="0.4">
      <c r="A4" s="175"/>
      <c r="B4" s="60"/>
      <c r="C4" s="5"/>
      <c r="D4" s="5"/>
      <c r="E4" s="5"/>
      <c r="F4" s="5"/>
      <c r="G4" s="5"/>
    </row>
    <row r="5" spans="1:8" ht="16.5" customHeight="1" thickBot="1" x14ac:dyDescent="0.45">
      <c r="A5" s="176" t="s">
        <v>11</v>
      </c>
      <c r="B5" s="62"/>
      <c r="C5" s="61"/>
      <c r="D5" s="61"/>
      <c r="E5" s="61"/>
      <c r="F5" s="61"/>
      <c r="G5" s="61"/>
      <c r="H5" s="61"/>
    </row>
    <row r="6" spans="1:8" ht="15.75" customHeight="1" thickTop="1" x14ac:dyDescent="0.4">
      <c r="A6" s="177"/>
      <c r="C6" s="5"/>
      <c r="D6" s="5"/>
      <c r="E6" s="5"/>
      <c r="F6" s="5"/>
      <c r="G6" s="5"/>
    </row>
    <row r="7" spans="1:8" ht="16.5" customHeight="1" thickBot="1" x14ac:dyDescent="0.45">
      <c r="A7" s="176" t="s">
        <v>12</v>
      </c>
      <c r="B7" s="62"/>
      <c r="C7" s="61"/>
      <c r="D7" s="61"/>
      <c r="E7" s="61"/>
      <c r="F7" s="61"/>
      <c r="G7" s="61"/>
      <c r="H7" s="61"/>
    </row>
    <row r="8" spans="1:8" ht="15" customHeight="1" thickTop="1" x14ac:dyDescent="0.4">
      <c r="A8" s="204" t="s">
        <v>191</v>
      </c>
      <c r="B8" s="204"/>
      <c r="C8" s="204"/>
      <c r="D8" s="204"/>
      <c r="E8" s="204"/>
      <c r="F8" s="204"/>
      <c r="G8" s="204"/>
      <c r="H8" s="204"/>
    </row>
    <row r="9" spans="1:8" x14ac:dyDescent="0.4">
      <c r="A9" s="204"/>
      <c r="B9" s="204"/>
      <c r="C9" s="204"/>
      <c r="D9" s="204"/>
      <c r="E9" s="204"/>
      <c r="F9" s="204"/>
      <c r="G9" s="204"/>
      <c r="H9" s="204"/>
    </row>
    <row r="10" spans="1:8" x14ac:dyDescent="0.4">
      <c r="A10" s="204"/>
      <c r="B10" s="204"/>
      <c r="C10" s="204"/>
      <c r="D10" s="204"/>
      <c r="E10" s="204"/>
      <c r="F10" s="204"/>
      <c r="G10" s="204"/>
      <c r="H10" s="204"/>
    </row>
    <row r="11" spans="1:8" ht="67.5" customHeight="1" x14ac:dyDescent="0.4">
      <c r="A11" s="205"/>
      <c r="B11" s="205"/>
      <c r="C11" s="205"/>
      <c r="D11" s="205"/>
      <c r="E11" s="205"/>
      <c r="F11" s="205"/>
      <c r="G11" s="205"/>
      <c r="H11" s="205"/>
    </row>
    <row r="12" spans="1:8" ht="23.25" customHeight="1" x14ac:dyDescent="0.4">
      <c r="A12" s="199" t="s">
        <v>13</v>
      </c>
      <c r="B12" s="200"/>
      <c r="C12" s="200"/>
      <c r="D12" s="200"/>
      <c r="E12" s="200"/>
      <c r="F12" s="200"/>
      <c r="G12" s="200"/>
      <c r="H12" s="201"/>
    </row>
    <row r="13" spans="1:8" ht="21.75" customHeight="1" x14ac:dyDescent="0.4">
      <c r="A13" s="193" t="s">
        <v>106</v>
      </c>
      <c r="B13" s="194"/>
      <c r="C13" s="194"/>
      <c r="D13" s="194"/>
      <c r="E13" s="194"/>
      <c r="F13" s="194"/>
      <c r="G13" s="194"/>
      <c r="H13" s="195"/>
    </row>
    <row r="14" spans="1:8" ht="22.5" customHeight="1" x14ac:dyDescent="0.4">
      <c r="A14" s="44" t="s">
        <v>14</v>
      </c>
      <c r="B14" s="41">
        <v>0</v>
      </c>
      <c r="C14" s="42">
        <v>0.25</v>
      </c>
      <c r="D14" s="42">
        <v>0.5</v>
      </c>
      <c r="E14" s="42">
        <v>0.75</v>
      </c>
      <c r="F14" s="42">
        <v>1</v>
      </c>
      <c r="G14" s="43" t="s">
        <v>8</v>
      </c>
      <c r="H14" s="43" t="s">
        <v>15</v>
      </c>
    </row>
    <row r="15" spans="1:8" ht="53.25" customHeight="1" x14ac:dyDescent="0.4">
      <c r="A15" s="7" t="s">
        <v>117</v>
      </c>
      <c r="B15" s="4"/>
      <c r="C15" s="3"/>
      <c r="D15" s="3"/>
      <c r="E15" s="3"/>
      <c r="F15" s="3"/>
      <c r="G15" s="3"/>
      <c r="H15" s="32"/>
    </row>
    <row r="16" spans="1:8" ht="53.25" customHeight="1" x14ac:dyDescent="0.4">
      <c r="A16" s="7" t="s">
        <v>118</v>
      </c>
      <c r="B16" s="4"/>
      <c r="C16" s="3"/>
      <c r="D16" s="3"/>
      <c r="E16" s="3"/>
      <c r="F16" s="3"/>
      <c r="G16" s="3"/>
      <c r="H16" s="32"/>
    </row>
    <row r="17" spans="1:8" ht="36.75" customHeight="1" x14ac:dyDescent="0.4">
      <c r="A17" s="7" t="s">
        <v>119</v>
      </c>
      <c r="B17" s="4"/>
      <c r="C17" s="3"/>
      <c r="D17" s="3"/>
      <c r="E17" s="3"/>
      <c r="F17" s="3"/>
      <c r="G17" s="3"/>
      <c r="H17" s="32"/>
    </row>
    <row r="18" spans="1:8" ht="31.5" customHeight="1" x14ac:dyDescent="0.4">
      <c r="A18" s="193" t="s">
        <v>16</v>
      </c>
      <c r="B18" s="194"/>
      <c r="C18" s="194"/>
      <c r="D18" s="194"/>
      <c r="E18" s="194"/>
      <c r="F18" s="194"/>
      <c r="G18" s="194"/>
      <c r="H18" s="195"/>
    </row>
    <row r="19" spans="1:8" ht="22.5" customHeight="1" x14ac:dyDescent="0.4">
      <c r="A19" s="44" t="s">
        <v>17</v>
      </c>
      <c r="B19" s="41">
        <v>0</v>
      </c>
      <c r="C19" s="42">
        <v>0.25</v>
      </c>
      <c r="D19" s="42">
        <v>0.5</v>
      </c>
      <c r="E19" s="42">
        <v>0.75</v>
      </c>
      <c r="F19" s="42">
        <v>1</v>
      </c>
      <c r="G19" s="43" t="s">
        <v>8</v>
      </c>
      <c r="H19" s="43" t="s">
        <v>15</v>
      </c>
    </row>
    <row r="20" spans="1:8" ht="33.75" customHeight="1" x14ac:dyDescent="0.4">
      <c r="A20" s="7" t="s">
        <v>120</v>
      </c>
      <c r="B20" s="4"/>
      <c r="C20" s="3"/>
      <c r="D20" s="3"/>
      <c r="E20" s="3"/>
      <c r="F20" s="3"/>
      <c r="G20" s="3"/>
      <c r="H20" s="3"/>
    </row>
    <row r="21" spans="1:8" ht="33.75" customHeight="1" x14ac:dyDescent="0.4">
      <c r="A21" s="7" t="s">
        <v>121</v>
      </c>
      <c r="B21" s="4"/>
      <c r="C21" s="3"/>
      <c r="D21" s="3"/>
      <c r="E21" s="3"/>
      <c r="F21" s="3"/>
      <c r="G21" s="3"/>
      <c r="H21" s="3"/>
    </row>
    <row r="22" spans="1:8" ht="34.25" customHeight="1" x14ac:dyDescent="0.4">
      <c r="A22" s="7" t="s">
        <v>122</v>
      </c>
      <c r="B22" s="4"/>
      <c r="C22" s="3"/>
      <c r="D22" s="3"/>
      <c r="E22" s="3"/>
      <c r="F22" s="3"/>
      <c r="G22" s="3"/>
      <c r="H22" s="3"/>
    </row>
    <row r="23" spans="1:8" ht="30" customHeight="1" x14ac:dyDescent="0.4">
      <c r="A23" s="193" t="s">
        <v>124</v>
      </c>
      <c r="B23" s="194"/>
      <c r="C23" s="194"/>
      <c r="D23" s="194"/>
      <c r="E23" s="194"/>
      <c r="F23" s="194"/>
      <c r="G23" s="194"/>
      <c r="H23" s="195"/>
    </row>
    <row r="24" spans="1:8" ht="29.25" customHeight="1" x14ac:dyDescent="0.4">
      <c r="A24" s="44" t="s">
        <v>17</v>
      </c>
      <c r="B24" s="41">
        <v>0</v>
      </c>
      <c r="C24" s="42">
        <v>0.25</v>
      </c>
      <c r="D24" s="42">
        <v>0.5</v>
      </c>
      <c r="E24" s="42">
        <v>0.75</v>
      </c>
      <c r="F24" s="42">
        <v>1</v>
      </c>
      <c r="G24" s="43" t="s">
        <v>8</v>
      </c>
      <c r="H24" s="43" t="s">
        <v>15</v>
      </c>
    </row>
    <row r="25" spans="1:8" ht="37.5" customHeight="1" x14ac:dyDescent="0.4">
      <c r="A25" s="7" t="s">
        <v>125</v>
      </c>
      <c r="B25" s="4"/>
      <c r="C25" s="3"/>
      <c r="D25" s="3"/>
      <c r="E25" s="3"/>
      <c r="F25" s="3"/>
      <c r="G25" s="3"/>
      <c r="H25" s="3"/>
    </row>
    <row r="26" spans="1:8" ht="27.75" customHeight="1" x14ac:dyDescent="0.4">
      <c r="A26" s="7" t="s">
        <v>126</v>
      </c>
      <c r="B26" s="4"/>
      <c r="C26" s="3"/>
      <c r="D26" s="3"/>
      <c r="E26" s="3"/>
      <c r="F26" s="3"/>
      <c r="G26" s="3"/>
      <c r="H26" s="32"/>
    </row>
    <row r="27" spans="1:8" ht="24.75" customHeight="1" x14ac:dyDescent="0.4">
      <c r="A27" s="185" t="s">
        <v>127</v>
      </c>
      <c r="B27" s="41">
        <v>0</v>
      </c>
      <c r="C27" s="42">
        <v>0.25</v>
      </c>
      <c r="D27" s="42">
        <v>0.5</v>
      </c>
      <c r="E27" s="42">
        <v>0.75</v>
      </c>
      <c r="F27" s="42">
        <v>1</v>
      </c>
      <c r="G27" s="43" t="s">
        <v>8</v>
      </c>
      <c r="H27" s="43" t="s">
        <v>15</v>
      </c>
    </row>
    <row r="28" spans="1:8" ht="29.25" customHeight="1" x14ac:dyDescent="0.4">
      <c r="A28" s="44" t="s">
        <v>17</v>
      </c>
      <c r="B28" s="41">
        <v>0</v>
      </c>
      <c r="C28" s="42">
        <v>0.25</v>
      </c>
      <c r="D28" s="42">
        <v>0.5</v>
      </c>
      <c r="E28" s="42">
        <v>0.75</v>
      </c>
      <c r="F28" s="42">
        <v>1</v>
      </c>
      <c r="G28" s="43" t="s">
        <v>8</v>
      </c>
      <c r="H28" s="43" t="s">
        <v>15</v>
      </c>
    </row>
    <row r="29" spans="1:8" ht="72.75" customHeight="1" x14ac:dyDescent="0.4">
      <c r="A29" s="7" t="s">
        <v>128</v>
      </c>
      <c r="B29" s="4"/>
      <c r="C29" s="3"/>
      <c r="D29" s="3"/>
      <c r="E29" s="3"/>
      <c r="F29" s="3"/>
      <c r="G29" s="3"/>
      <c r="H29" s="32"/>
    </row>
    <row r="30" spans="1:8" ht="51" customHeight="1" x14ac:dyDescent="0.4">
      <c r="A30" s="7" t="s">
        <v>129</v>
      </c>
      <c r="B30" s="4"/>
      <c r="C30" s="3"/>
      <c r="D30" s="3"/>
      <c r="E30" s="3"/>
      <c r="F30" s="3"/>
      <c r="G30" s="3"/>
      <c r="H30" s="32"/>
    </row>
    <row r="31" spans="1:8" ht="31.5" customHeight="1" x14ac:dyDescent="0.4">
      <c r="A31" s="199" t="s">
        <v>18</v>
      </c>
      <c r="B31" s="200"/>
      <c r="C31" s="200"/>
      <c r="D31" s="200"/>
      <c r="E31" s="200"/>
      <c r="F31" s="200"/>
      <c r="G31" s="200"/>
      <c r="H31" s="201"/>
    </row>
    <row r="32" spans="1:8" ht="24" customHeight="1" x14ac:dyDescent="0.4">
      <c r="A32" s="193" t="s">
        <v>19</v>
      </c>
      <c r="B32" s="194"/>
      <c r="C32" s="194"/>
      <c r="D32" s="194"/>
      <c r="E32" s="194"/>
      <c r="F32" s="194"/>
      <c r="G32" s="194"/>
      <c r="H32" s="195"/>
    </row>
    <row r="33" spans="1:8" ht="33.75" customHeight="1" x14ac:dyDescent="0.4">
      <c r="A33" s="44" t="s">
        <v>110</v>
      </c>
      <c r="B33" s="41">
        <v>0</v>
      </c>
      <c r="C33" s="42">
        <v>0.25</v>
      </c>
      <c r="D33" s="42">
        <v>0.5</v>
      </c>
      <c r="E33" s="42">
        <v>0.75</v>
      </c>
      <c r="F33" s="42">
        <v>1</v>
      </c>
      <c r="G33" s="43" t="s">
        <v>8</v>
      </c>
      <c r="H33" s="43" t="s">
        <v>15</v>
      </c>
    </row>
    <row r="34" spans="1:8" ht="28.5" customHeight="1" x14ac:dyDescent="0.4">
      <c r="A34" s="7" t="s">
        <v>130</v>
      </c>
      <c r="B34" s="4"/>
      <c r="C34" s="3"/>
      <c r="D34" s="3"/>
      <c r="E34" s="3"/>
      <c r="F34" s="3"/>
      <c r="G34" s="3"/>
      <c r="H34" s="32"/>
    </row>
    <row r="35" spans="1:8" ht="37.5" customHeight="1" x14ac:dyDescent="0.4">
      <c r="A35" s="7" t="s">
        <v>131</v>
      </c>
      <c r="B35" s="4"/>
      <c r="C35" s="3"/>
      <c r="D35" s="3"/>
      <c r="E35" s="3"/>
      <c r="F35" s="3"/>
      <c r="G35" s="3"/>
      <c r="H35" s="32"/>
    </row>
    <row r="36" spans="1:8" ht="51.75" customHeight="1" x14ac:dyDescent="0.4">
      <c r="A36" s="7" t="s">
        <v>132</v>
      </c>
      <c r="B36" s="4"/>
      <c r="C36" s="3"/>
      <c r="D36" s="3"/>
      <c r="E36" s="3"/>
      <c r="F36" s="3"/>
      <c r="G36" s="3"/>
      <c r="H36" s="32"/>
    </row>
    <row r="37" spans="1:8" ht="24" customHeight="1" x14ac:dyDescent="0.4">
      <c r="A37" s="193" t="s">
        <v>133</v>
      </c>
      <c r="B37" s="194"/>
      <c r="C37" s="194"/>
      <c r="D37" s="194"/>
      <c r="E37" s="194"/>
      <c r="F37" s="194"/>
      <c r="G37" s="194"/>
      <c r="H37" s="195"/>
    </row>
    <row r="38" spans="1:8" ht="33.75" customHeight="1" x14ac:dyDescent="0.4">
      <c r="A38" s="44" t="s">
        <v>110</v>
      </c>
      <c r="B38" s="41">
        <v>0</v>
      </c>
      <c r="C38" s="42">
        <v>0.25</v>
      </c>
      <c r="D38" s="42">
        <v>0.5</v>
      </c>
      <c r="E38" s="42">
        <v>0.75</v>
      </c>
      <c r="F38" s="42">
        <v>1</v>
      </c>
      <c r="G38" s="43" t="s">
        <v>8</v>
      </c>
      <c r="H38" s="43" t="s">
        <v>15</v>
      </c>
    </row>
    <row r="39" spans="1:8" ht="29.25" customHeight="1" x14ac:dyDescent="0.4">
      <c r="A39" s="7" t="s">
        <v>134</v>
      </c>
      <c r="B39" s="4"/>
      <c r="C39" s="3"/>
      <c r="D39" s="3"/>
      <c r="E39" s="3"/>
      <c r="F39" s="3"/>
      <c r="G39" s="3"/>
      <c r="H39" s="3"/>
    </row>
    <row r="40" spans="1:8" ht="45" customHeight="1" x14ac:dyDescent="0.4">
      <c r="A40" s="7" t="s">
        <v>135</v>
      </c>
      <c r="B40" s="4"/>
      <c r="C40" s="3"/>
      <c r="D40" s="3"/>
      <c r="E40" s="3"/>
      <c r="F40" s="3"/>
      <c r="G40" s="3"/>
      <c r="H40" s="3"/>
    </row>
    <row r="41" spans="1:8" ht="34.5" customHeight="1" x14ac:dyDescent="0.4">
      <c r="A41" s="7" t="s">
        <v>136</v>
      </c>
      <c r="B41" s="4"/>
      <c r="C41" s="3"/>
      <c r="D41" s="3"/>
      <c r="E41" s="3"/>
      <c r="F41" s="3"/>
      <c r="G41" s="3"/>
      <c r="H41" s="3"/>
    </row>
    <row r="42" spans="1:8" ht="42.75" customHeight="1" x14ac:dyDescent="0.4">
      <c r="A42" s="7" t="s">
        <v>137</v>
      </c>
      <c r="B42" s="4"/>
      <c r="C42" s="3"/>
      <c r="D42" s="3"/>
      <c r="E42" s="3"/>
      <c r="F42" s="3"/>
      <c r="G42" s="3"/>
      <c r="H42" s="3"/>
    </row>
    <row r="43" spans="1:8" ht="32.25" customHeight="1" x14ac:dyDescent="0.4">
      <c r="A43" s="193" t="s">
        <v>138</v>
      </c>
      <c r="B43" s="194"/>
      <c r="C43" s="194"/>
      <c r="D43" s="194"/>
      <c r="E43" s="194"/>
      <c r="F43" s="194"/>
      <c r="G43" s="194"/>
      <c r="H43" s="195"/>
    </row>
    <row r="44" spans="1:8" ht="26.25" customHeight="1" x14ac:dyDescent="0.4">
      <c r="A44" s="184" t="s">
        <v>25</v>
      </c>
      <c r="B44" s="41">
        <v>0</v>
      </c>
      <c r="C44" s="42">
        <v>0.25</v>
      </c>
      <c r="D44" s="42">
        <v>0.5</v>
      </c>
      <c r="E44" s="42">
        <v>0.75</v>
      </c>
      <c r="F44" s="42">
        <v>1</v>
      </c>
      <c r="G44" s="43" t="s">
        <v>8</v>
      </c>
      <c r="H44" s="43" t="s">
        <v>15</v>
      </c>
    </row>
    <row r="45" spans="1:8" ht="54.75" customHeight="1" x14ac:dyDescent="0.4">
      <c r="A45" s="7" t="s">
        <v>139</v>
      </c>
      <c r="B45" s="4"/>
      <c r="C45" s="3"/>
      <c r="D45" s="3"/>
      <c r="E45" s="3"/>
      <c r="F45" s="3"/>
      <c r="G45" s="3"/>
      <c r="H45" s="32"/>
    </row>
    <row r="46" spans="1:8" ht="48" customHeight="1" x14ac:dyDescent="0.4">
      <c r="A46" s="7" t="s">
        <v>140</v>
      </c>
      <c r="B46" s="4"/>
      <c r="C46" s="3"/>
      <c r="D46" s="3"/>
      <c r="E46" s="3"/>
      <c r="F46" s="3"/>
      <c r="G46" s="3"/>
      <c r="H46" s="32"/>
    </row>
    <row r="47" spans="1:8" ht="24.75" customHeight="1" x14ac:dyDescent="0.4">
      <c r="A47" s="199" t="s">
        <v>20</v>
      </c>
      <c r="B47" s="200"/>
      <c r="C47" s="200"/>
      <c r="D47" s="200"/>
      <c r="E47" s="200"/>
      <c r="F47" s="200"/>
      <c r="G47" s="200"/>
      <c r="H47" s="201"/>
    </row>
    <row r="48" spans="1:8" ht="24.75" customHeight="1" x14ac:dyDescent="0.4">
      <c r="A48" s="193" t="s">
        <v>111</v>
      </c>
      <c r="B48" s="194"/>
      <c r="C48" s="194"/>
      <c r="D48" s="194"/>
      <c r="E48" s="194"/>
      <c r="F48" s="194"/>
      <c r="G48" s="194"/>
      <c r="H48" s="195"/>
    </row>
    <row r="49" spans="1:8" ht="28.5" customHeight="1" x14ac:dyDescent="0.4">
      <c r="A49" s="44" t="s">
        <v>25</v>
      </c>
      <c r="B49" s="41">
        <v>0</v>
      </c>
      <c r="C49" s="42">
        <v>0.25</v>
      </c>
      <c r="D49" s="42">
        <v>0.5</v>
      </c>
      <c r="E49" s="42">
        <v>0.75</v>
      </c>
      <c r="F49" s="42">
        <v>1</v>
      </c>
      <c r="G49" s="43" t="s">
        <v>8</v>
      </c>
      <c r="H49" s="43" t="s">
        <v>15</v>
      </c>
    </row>
    <row r="50" spans="1:8" ht="54.75" customHeight="1" x14ac:dyDescent="0.4">
      <c r="A50" s="7" t="s">
        <v>141</v>
      </c>
      <c r="B50" s="4"/>
      <c r="C50" s="3"/>
      <c r="D50" s="3"/>
      <c r="E50" s="3"/>
      <c r="F50" s="3"/>
      <c r="G50" s="3"/>
      <c r="H50" s="32"/>
    </row>
    <row r="51" spans="1:8" ht="51.75" customHeight="1" x14ac:dyDescent="0.4">
      <c r="A51" s="7" t="s">
        <v>142</v>
      </c>
      <c r="B51" s="4"/>
      <c r="C51" s="3"/>
      <c r="D51" s="3"/>
      <c r="E51" s="3"/>
      <c r="F51" s="3"/>
      <c r="G51" s="3"/>
      <c r="H51" s="32"/>
    </row>
    <row r="52" spans="1:8" ht="46.5" customHeight="1" x14ac:dyDescent="0.4">
      <c r="A52" s="7" t="s">
        <v>143</v>
      </c>
      <c r="B52" s="4"/>
      <c r="C52" s="3"/>
      <c r="D52" s="3"/>
      <c r="E52" s="3"/>
      <c r="F52" s="3"/>
      <c r="G52" s="3"/>
      <c r="H52" s="32"/>
    </row>
    <row r="53" spans="1:8" ht="36.75" customHeight="1" x14ac:dyDescent="0.4">
      <c r="A53" s="7" t="s">
        <v>144</v>
      </c>
      <c r="B53" s="4"/>
      <c r="C53" s="3"/>
      <c r="D53" s="3"/>
      <c r="E53" s="3"/>
      <c r="F53" s="3"/>
      <c r="G53" s="3"/>
      <c r="H53" s="32"/>
    </row>
    <row r="54" spans="1:8" ht="34.5" customHeight="1" x14ac:dyDescent="0.4">
      <c r="A54" s="7" t="s">
        <v>145</v>
      </c>
      <c r="B54" s="4"/>
      <c r="C54" s="3"/>
      <c r="D54" s="3"/>
      <c r="E54" s="3"/>
      <c r="F54" s="3"/>
      <c r="G54" s="3"/>
      <c r="H54" s="32"/>
    </row>
    <row r="55" spans="1:8" ht="30.75" customHeight="1" x14ac:dyDescent="0.4">
      <c r="A55" s="193" t="s">
        <v>146</v>
      </c>
      <c r="B55" s="194"/>
      <c r="C55" s="194"/>
      <c r="D55" s="194"/>
      <c r="E55" s="194"/>
      <c r="F55" s="194"/>
      <c r="G55" s="194"/>
      <c r="H55" s="195"/>
    </row>
    <row r="56" spans="1:8" ht="30.75" customHeight="1" x14ac:dyDescent="0.4">
      <c r="A56" s="44" t="s">
        <v>22</v>
      </c>
      <c r="B56" s="41">
        <v>0</v>
      </c>
      <c r="C56" s="42">
        <v>0.25</v>
      </c>
      <c r="D56" s="42">
        <v>0.5</v>
      </c>
      <c r="E56" s="42">
        <v>0.75</v>
      </c>
      <c r="F56" s="42">
        <v>1</v>
      </c>
      <c r="G56" s="43" t="s">
        <v>8</v>
      </c>
      <c r="H56" s="43" t="s">
        <v>15</v>
      </c>
    </row>
    <row r="57" spans="1:8" ht="28.5" customHeight="1" x14ac:dyDescent="0.4">
      <c r="A57" s="7" t="s">
        <v>147</v>
      </c>
      <c r="B57" s="4"/>
      <c r="C57" s="3"/>
      <c r="D57" s="3"/>
      <c r="E57" s="3"/>
      <c r="F57" s="3"/>
      <c r="G57" s="3"/>
      <c r="H57" s="32"/>
    </row>
    <row r="58" spans="1:8" ht="28.5" customHeight="1" x14ac:dyDescent="0.4">
      <c r="A58" s="7" t="s">
        <v>148</v>
      </c>
      <c r="B58" s="4"/>
      <c r="C58" s="3"/>
      <c r="D58" s="3"/>
      <c r="E58" s="3"/>
      <c r="F58" s="3"/>
      <c r="G58" s="3"/>
      <c r="H58" s="32"/>
    </row>
    <row r="59" spans="1:8" ht="28.5" customHeight="1" x14ac:dyDescent="0.4">
      <c r="A59" s="7" t="s">
        <v>149</v>
      </c>
      <c r="B59" s="4"/>
      <c r="C59" s="4"/>
      <c r="D59" s="3"/>
      <c r="E59" s="3"/>
      <c r="F59" s="3"/>
      <c r="G59" s="3"/>
      <c r="H59" s="32"/>
    </row>
    <row r="60" spans="1:8" ht="28.5" customHeight="1" x14ac:dyDescent="0.4">
      <c r="A60" s="7" t="s">
        <v>150</v>
      </c>
      <c r="B60" s="4"/>
      <c r="C60" s="4"/>
      <c r="D60" s="3"/>
      <c r="E60" s="3"/>
      <c r="F60" s="3"/>
      <c r="G60" s="3"/>
      <c r="H60" s="32"/>
    </row>
    <row r="61" spans="1:8" ht="26.25" customHeight="1" x14ac:dyDescent="0.4">
      <c r="A61" s="199" t="s">
        <v>23</v>
      </c>
      <c r="B61" s="200"/>
      <c r="C61" s="200"/>
      <c r="D61" s="200"/>
      <c r="E61" s="200"/>
      <c r="F61" s="200"/>
      <c r="G61" s="200"/>
      <c r="H61" s="201"/>
    </row>
    <row r="62" spans="1:8" ht="26.25" customHeight="1" x14ac:dyDescent="0.4">
      <c r="A62" s="193" t="s">
        <v>86</v>
      </c>
      <c r="B62" s="194"/>
      <c r="C62" s="194"/>
      <c r="D62" s="194"/>
      <c r="E62" s="194"/>
      <c r="F62" s="194"/>
      <c r="G62" s="194"/>
      <c r="H62" s="195"/>
    </row>
    <row r="63" spans="1:8" ht="26.25" customHeight="1" x14ac:dyDescent="0.4">
      <c r="A63" s="44" t="s">
        <v>22</v>
      </c>
      <c r="B63" s="41">
        <v>0</v>
      </c>
      <c r="C63" s="42">
        <v>0.25</v>
      </c>
      <c r="D63" s="42">
        <v>0.5</v>
      </c>
      <c r="E63" s="42">
        <v>0.75</v>
      </c>
      <c r="F63" s="42">
        <v>1</v>
      </c>
      <c r="G63" s="43" t="s">
        <v>8</v>
      </c>
      <c r="H63" s="43" t="s">
        <v>15</v>
      </c>
    </row>
    <row r="64" spans="1:8" ht="51" customHeight="1" x14ac:dyDescent="0.4">
      <c r="A64" s="7" t="s">
        <v>151</v>
      </c>
      <c r="B64" s="4"/>
      <c r="C64" s="3"/>
      <c r="D64" s="3"/>
      <c r="E64" s="3"/>
      <c r="F64" s="3"/>
      <c r="G64" s="3"/>
      <c r="H64" s="3"/>
    </row>
    <row r="65" spans="1:12" ht="29.25" customHeight="1" x14ac:dyDescent="0.45">
      <c r="A65" s="193" t="s">
        <v>24</v>
      </c>
      <c r="B65" s="194"/>
      <c r="C65" s="194"/>
      <c r="D65" s="194"/>
      <c r="E65" s="194"/>
      <c r="F65" s="194"/>
      <c r="G65" s="194"/>
      <c r="H65" s="195"/>
      <c r="I65" s="6"/>
      <c r="J65" s="6"/>
      <c r="K65" s="6"/>
      <c r="L65" s="6"/>
    </row>
    <row r="66" spans="1:12" ht="24.75" customHeight="1" x14ac:dyDescent="0.45">
      <c r="A66" s="44" t="s">
        <v>25</v>
      </c>
      <c r="B66" s="41">
        <v>0</v>
      </c>
      <c r="C66" s="42">
        <v>0.25</v>
      </c>
      <c r="D66" s="42">
        <v>0.5</v>
      </c>
      <c r="E66" s="42">
        <v>0.75</v>
      </c>
      <c r="F66" s="42">
        <v>1</v>
      </c>
      <c r="G66" s="43" t="s">
        <v>8</v>
      </c>
      <c r="H66" s="43" t="s">
        <v>15</v>
      </c>
      <c r="I66" s="6"/>
      <c r="J66" s="6"/>
      <c r="K66" s="6"/>
      <c r="L66" s="6"/>
    </row>
    <row r="67" spans="1:12" ht="45" customHeight="1" x14ac:dyDescent="0.45">
      <c r="A67" s="7" t="s">
        <v>152</v>
      </c>
      <c r="B67" s="4"/>
      <c r="C67" s="3"/>
      <c r="D67" s="3"/>
      <c r="E67" s="3"/>
      <c r="F67" s="3"/>
      <c r="G67" s="3"/>
      <c r="H67" s="3"/>
      <c r="I67" s="6"/>
      <c r="J67" s="6"/>
      <c r="K67" s="6"/>
      <c r="L67" s="6"/>
    </row>
    <row r="68" spans="1:12" ht="38.25" customHeight="1" x14ac:dyDescent="0.45">
      <c r="A68" s="7" t="s">
        <v>153</v>
      </c>
      <c r="B68" s="4"/>
      <c r="C68" s="3"/>
      <c r="D68" s="3"/>
      <c r="E68" s="3"/>
      <c r="F68" s="3"/>
      <c r="G68" s="3"/>
      <c r="H68" s="3"/>
      <c r="I68" s="6"/>
      <c r="J68" s="6"/>
      <c r="K68" s="6"/>
      <c r="L68" s="6"/>
    </row>
    <row r="69" spans="1:12" ht="38.25" customHeight="1" x14ac:dyDescent="0.45">
      <c r="A69" s="7" t="s">
        <v>154</v>
      </c>
      <c r="B69" s="4"/>
      <c r="C69" s="3"/>
      <c r="D69" s="3"/>
      <c r="E69" s="3"/>
      <c r="F69" s="3"/>
      <c r="G69" s="3"/>
      <c r="H69" s="3"/>
      <c r="I69" s="6"/>
      <c r="J69" s="6"/>
      <c r="K69" s="6"/>
      <c r="L69" s="6"/>
    </row>
    <row r="70" spans="1:12" ht="26.25" customHeight="1" x14ac:dyDescent="0.45">
      <c r="A70" s="193" t="s">
        <v>112</v>
      </c>
      <c r="B70" s="194"/>
      <c r="C70" s="194"/>
      <c r="D70" s="194"/>
      <c r="E70" s="194"/>
      <c r="F70" s="194"/>
      <c r="G70" s="194"/>
      <c r="H70" s="195"/>
      <c r="I70" s="6"/>
      <c r="J70" s="6"/>
      <c r="K70" s="6"/>
      <c r="L70" s="6"/>
    </row>
    <row r="71" spans="1:12" ht="15.4" x14ac:dyDescent="0.45">
      <c r="A71" s="50" t="s">
        <v>25</v>
      </c>
      <c r="B71" s="41">
        <v>0</v>
      </c>
      <c r="C71" s="42">
        <v>0.25</v>
      </c>
      <c r="D71" s="42">
        <v>0.5</v>
      </c>
      <c r="E71" s="42">
        <v>0.75</v>
      </c>
      <c r="F71" s="42">
        <v>1</v>
      </c>
      <c r="G71" s="43" t="s">
        <v>9</v>
      </c>
      <c r="H71" s="43" t="s">
        <v>15</v>
      </c>
      <c r="I71" s="6"/>
      <c r="J71" s="6"/>
      <c r="K71" s="6"/>
      <c r="L71" s="6"/>
    </row>
    <row r="72" spans="1:12" ht="36" customHeight="1" x14ac:dyDescent="0.45">
      <c r="A72" s="7" t="s">
        <v>155</v>
      </c>
      <c r="B72" s="3"/>
      <c r="C72" s="3"/>
      <c r="D72" s="3"/>
      <c r="E72" s="3"/>
      <c r="F72" s="3"/>
      <c r="G72" s="3"/>
      <c r="H72" s="3"/>
      <c r="I72" s="6"/>
      <c r="J72" s="6"/>
      <c r="K72" s="6"/>
      <c r="L72" s="6"/>
    </row>
    <row r="73" spans="1:12" ht="36" customHeight="1" x14ac:dyDescent="0.45">
      <c r="A73" s="7" t="s">
        <v>156</v>
      </c>
      <c r="B73" s="3"/>
      <c r="C73" s="3"/>
      <c r="D73" s="3"/>
      <c r="E73" s="3"/>
      <c r="F73" s="3"/>
      <c r="G73" s="3"/>
      <c r="H73" s="3"/>
      <c r="I73" s="6"/>
      <c r="J73" s="6"/>
      <c r="K73" s="6"/>
      <c r="L73" s="6"/>
    </row>
    <row r="74" spans="1:12" ht="27.75" customHeight="1" x14ac:dyDescent="0.45">
      <c r="A74" s="193" t="s">
        <v>26</v>
      </c>
      <c r="B74" s="194"/>
      <c r="C74" s="194"/>
      <c r="D74" s="194"/>
      <c r="E74" s="194"/>
      <c r="F74" s="194"/>
      <c r="G74" s="194"/>
      <c r="H74" s="195"/>
      <c r="I74" s="6"/>
      <c r="J74" s="6"/>
      <c r="K74" s="6"/>
      <c r="L74" s="6"/>
    </row>
    <row r="75" spans="1:12" ht="64.5" customHeight="1" x14ac:dyDescent="0.45">
      <c r="A75" s="50" t="s">
        <v>25</v>
      </c>
      <c r="B75" s="41">
        <v>0</v>
      </c>
      <c r="C75" s="42">
        <v>0.25</v>
      </c>
      <c r="D75" s="42">
        <v>0.5</v>
      </c>
      <c r="E75" s="42">
        <v>0.75</v>
      </c>
      <c r="F75" s="42">
        <v>1</v>
      </c>
      <c r="G75" s="43" t="s">
        <v>9</v>
      </c>
      <c r="H75" s="43" t="s">
        <v>15</v>
      </c>
      <c r="I75" s="6"/>
      <c r="J75" s="6"/>
      <c r="K75" s="6"/>
      <c r="L75" s="6"/>
    </row>
    <row r="76" spans="1:12" ht="28.5" customHeight="1" x14ac:dyDescent="0.45">
      <c r="A76" s="7" t="s">
        <v>157</v>
      </c>
      <c r="B76" s="3"/>
      <c r="C76" s="3"/>
      <c r="D76" s="3"/>
      <c r="E76" s="3"/>
      <c r="F76" s="3"/>
      <c r="G76" s="3"/>
      <c r="H76" s="3"/>
      <c r="I76" s="6"/>
      <c r="J76" s="6"/>
      <c r="K76" s="6"/>
      <c r="L76" s="6"/>
    </row>
    <row r="77" spans="1:12" ht="28.5" customHeight="1" x14ac:dyDescent="0.45">
      <c r="A77" s="7" t="s">
        <v>158</v>
      </c>
      <c r="B77" s="3"/>
      <c r="C77" s="3"/>
      <c r="D77" s="3"/>
      <c r="E77" s="3"/>
      <c r="F77" s="3"/>
      <c r="G77" s="3"/>
      <c r="H77" s="3"/>
      <c r="I77" s="6"/>
      <c r="J77" s="6"/>
      <c r="K77" s="6"/>
      <c r="L77" s="6"/>
    </row>
    <row r="78" spans="1:12" ht="28.5" customHeight="1" x14ac:dyDescent="0.45">
      <c r="A78" s="193" t="s">
        <v>107</v>
      </c>
      <c r="B78" s="194"/>
      <c r="C78" s="194"/>
      <c r="D78" s="194"/>
      <c r="E78" s="194"/>
      <c r="F78" s="194"/>
      <c r="G78" s="194"/>
      <c r="H78" s="195"/>
      <c r="I78" s="6"/>
      <c r="J78" s="6"/>
      <c r="K78" s="6"/>
      <c r="L78" s="6"/>
    </row>
    <row r="79" spans="1:12" ht="32.25" customHeight="1" x14ac:dyDescent="0.45">
      <c r="A79" s="50" t="s">
        <v>25</v>
      </c>
      <c r="B79" s="41">
        <v>0</v>
      </c>
      <c r="C79" s="42">
        <v>0.25</v>
      </c>
      <c r="D79" s="42">
        <v>0.5</v>
      </c>
      <c r="E79" s="42">
        <v>0.75</v>
      </c>
      <c r="F79" s="42">
        <v>1</v>
      </c>
      <c r="G79" s="43" t="s">
        <v>9</v>
      </c>
      <c r="H79" s="43" t="s">
        <v>15</v>
      </c>
      <c r="I79" s="6"/>
      <c r="J79" s="6"/>
      <c r="K79" s="6"/>
      <c r="L79" s="6"/>
    </row>
    <row r="80" spans="1:12" ht="30" customHeight="1" x14ac:dyDescent="0.45">
      <c r="A80" s="7" t="s">
        <v>159</v>
      </c>
      <c r="B80" s="3"/>
      <c r="C80" s="3"/>
      <c r="D80" s="3"/>
      <c r="E80" s="3"/>
      <c r="F80" s="3"/>
      <c r="G80" s="3"/>
      <c r="H80" s="3"/>
      <c r="I80" s="6"/>
      <c r="J80" s="6"/>
      <c r="K80" s="6"/>
      <c r="L80" s="6"/>
    </row>
    <row r="81" spans="1:12" ht="30" customHeight="1" x14ac:dyDescent="0.45">
      <c r="A81" s="7" t="s">
        <v>160</v>
      </c>
      <c r="B81" s="3"/>
      <c r="C81" s="3"/>
      <c r="D81" s="3"/>
      <c r="E81" s="3"/>
      <c r="F81" s="3"/>
      <c r="G81" s="3"/>
      <c r="H81" s="3"/>
      <c r="I81" s="6"/>
      <c r="J81" s="6"/>
      <c r="K81" s="6"/>
      <c r="L81" s="6"/>
    </row>
    <row r="82" spans="1:12" ht="30" customHeight="1" x14ac:dyDescent="0.45">
      <c r="A82" s="7" t="s">
        <v>161</v>
      </c>
      <c r="B82" s="3"/>
      <c r="C82" s="3"/>
      <c r="D82" s="3"/>
      <c r="E82" s="3"/>
      <c r="F82" s="3"/>
      <c r="G82" s="3"/>
      <c r="H82" s="3"/>
      <c r="I82" s="6"/>
      <c r="J82" s="6"/>
      <c r="K82" s="6"/>
      <c r="L82" s="6"/>
    </row>
    <row r="83" spans="1:12" ht="30" customHeight="1" x14ac:dyDescent="0.45">
      <c r="A83" s="7" t="s">
        <v>162</v>
      </c>
      <c r="B83" s="3"/>
      <c r="C83" s="3"/>
      <c r="D83" s="3"/>
      <c r="E83" s="3"/>
      <c r="F83" s="3"/>
      <c r="G83" s="3"/>
      <c r="H83" s="3"/>
      <c r="I83" s="6"/>
      <c r="J83" s="6"/>
      <c r="K83" s="6"/>
      <c r="L83" s="6"/>
    </row>
    <row r="84" spans="1:12" ht="22.5" customHeight="1" x14ac:dyDescent="0.4">
      <c r="A84" s="199" t="s">
        <v>27</v>
      </c>
      <c r="B84" s="200"/>
      <c r="C84" s="200"/>
      <c r="D84" s="200"/>
      <c r="E84" s="200"/>
      <c r="F84" s="200"/>
      <c r="G84" s="200"/>
      <c r="H84" s="201"/>
    </row>
    <row r="85" spans="1:12" ht="26.25" customHeight="1" x14ac:dyDescent="0.4">
      <c r="A85" s="193" t="s">
        <v>28</v>
      </c>
      <c r="B85" s="194"/>
      <c r="C85" s="194"/>
      <c r="D85" s="194"/>
      <c r="E85" s="194"/>
      <c r="F85" s="194"/>
      <c r="G85" s="194"/>
      <c r="H85" s="195"/>
    </row>
    <row r="86" spans="1:12" ht="25.5" customHeight="1" x14ac:dyDescent="0.4">
      <c r="A86" s="178" t="s">
        <v>87</v>
      </c>
      <c r="B86" s="40">
        <v>0</v>
      </c>
      <c r="C86" s="42">
        <v>0.25</v>
      </c>
      <c r="D86" s="42">
        <v>0.5</v>
      </c>
      <c r="E86" s="42">
        <v>0.75</v>
      </c>
      <c r="F86" s="42">
        <v>1</v>
      </c>
      <c r="G86" s="43" t="s">
        <v>8</v>
      </c>
      <c r="H86" s="43" t="s">
        <v>15</v>
      </c>
    </row>
    <row r="87" spans="1:12" ht="32.25" customHeight="1" x14ac:dyDescent="0.4">
      <c r="A87" s="179" t="s">
        <v>163</v>
      </c>
      <c r="B87" s="133"/>
      <c r="C87" s="3"/>
      <c r="D87" s="3"/>
      <c r="E87" s="3"/>
      <c r="F87" s="3"/>
      <c r="G87" s="3"/>
      <c r="H87" s="32"/>
    </row>
    <row r="88" spans="1:12" ht="32.25" customHeight="1" x14ac:dyDescent="0.4">
      <c r="A88" s="180" t="s">
        <v>164</v>
      </c>
      <c r="B88" s="133"/>
      <c r="C88" s="132"/>
      <c r="D88" s="3"/>
      <c r="E88" s="3"/>
      <c r="F88" s="3"/>
      <c r="G88" s="3"/>
      <c r="H88" s="32"/>
    </row>
    <row r="89" spans="1:12" ht="30.75" customHeight="1" x14ac:dyDescent="0.4">
      <c r="A89" s="181" t="s">
        <v>165</v>
      </c>
      <c r="B89" s="3"/>
      <c r="C89" s="3"/>
      <c r="D89" s="3"/>
      <c r="E89" s="3"/>
      <c r="F89" s="3"/>
      <c r="G89" s="3"/>
      <c r="H89" s="32"/>
    </row>
    <row r="90" spans="1:12" ht="54" customHeight="1" x14ac:dyDescent="0.4">
      <c r="A90" s="182" t="s">
        <v>166</v>
      </c>
      <c r="B90" s="133"/>
      <c r="C90" s="3"/>
      <c r="D90" s="3"/>
      <c r="E90" s="3"/>
      <c r="F90" s="3"/>
      <c r="G90" s="3"/>
      <c r="H90" s="32"/>
    </row>
    <row r="91" spans="1:12" customFormat="1" ht="36.75" customHeight="1" x14ac:dyDescent="0.45">
      <c r="A91" s="193" t="s">
        <v>167</v>
      </c>
      <c r="B91" s="194"/>
      <c r="C91" s="194"/>
      <c r="D91" s="194"/>
      <c r="E91" s="194"/>
      <c r="F91" s="194"/>
      <c r="G91" s="194"/>
      <c r="H91" s="195"/>
    </row>
    <row r="92" spans="1:12" customFormat="1" ht="15.4" x14ac:dyDescent="0.45">
      <c r="A92" s="178" t="s">
        <v>87</v>
      </c>
      <c r="B92" s="40">
        <v>0</v>
      </c>
      <c r="C92" s="42">
        <v>0.25</v>
      </c>
      <c r="D92" s="42">
        <v>0.5</v>
      </c>
      <c r="E92" s="42">
        <v>0.75</v>
      </c>
      <c r="F92" s="42">
        <v>1</v>
      </c>
      <c r="G92" s="43" t="s">
        <v>8</v>
      </c>
      <c r="H92" s="43" t="s">
        <v>15</v>
      </c>
    </row>
    <row r="93" spans="1:12" ht="42" customHeight="1" x14ac:dyDescent="0.4">
      <c r="A93" s="183" t="s">
        <v>168</v>
      </c>
      <c r="B93" s="133"/>
      <c r="C93" s="3"/>
      <c r="D93" s="3"/>
      <c r="E93" s="3"/>
      <c r="F93" s="3"/>
      <c r="G93" s="3"/>
      <c r="H93" s="3"/>
    </row>
    <row r="94" spans="1:12" ht="33.75" customHeight="1" x14ac:dyDescent="0.4">
      <c r="A94" s="193" t="s">
        <v>169</v>
      </c>
      <c r="B94" s="194"/>
      <c r="C94" s="194"/>
      <c r="D94" s="194"/>
      <c r="E94" s="194"/>
      <c r="F94" s="194"/>
      <c r="G94" s="194"/>
      <c r="H94" s="195"/>
    </row>
    <row r="95" spans="1:12" ht="33.75" customHeight="1" x14ac:dyDescent="0.4">
      <c r="A95" s="178" t="s">
        <v>87</v>
      </c>
      <c r="B95" s="42">
        <v>0</v>
      </c>
      <c r="C95" s="45">
        <v>0.25</v>
      </c>
      <c r="D95" s="45">
        <v>0.5</v>
      </c>
      <c r="E95" s="45">
        <v>0.75</v>
      </c>
      <c r="F95" s="45">
        <v>1</v>
      </c>
      <c r="G95" s="46" t="s">
        <v>8</v>
      </c>
      <c r="H95" s="43" t="s">
        <v>15</v>
      </c>
    </row>
    <row r="96" spans="1:12" ht="45" customHeight="1" x14ac:dyDescent="0.4">
      <c r="A96" s="182" t="s">
        <v>170</v>
      </c>
      <c r="B96" s="133"/>
      <c r="C96" s="3"/>
      <c r="D96" s="3"/>
      <c r="E96" s="3"/>
      <c r="F96" s="3"/>
      <c r="G96" s="3"/>
      <c r="H96" s="3"/>
    </row>
    <row r="97" spans="1:8" ht="45" customHeight="1" x14ac:dyDescent="0.4">
      <c r="A97" s="182" t="s">
        <v>171</v>
      </c>
      <c r="B97" s="133"/>
      <c r="C97" s="3"/>
      <c r="D97" s="3"/>
      <c r="E97" s="3"/>
      <c r="F97" s="3"/>
      <c r="G97" s="3"/>
      <c r="H97" s="3"/>
    </row>
    <row r="98" spans="1:8" ht="45" customHeight="1" x14ac:dyDescent="0.4">
      <c r="A98" s="182" t="s">
        <v>172</v>
      </c>
      <c r="B98" s="133"/>
      <c r="C98" s="3"/>
      <c r="D98" s="3"/>
      <c r="E98" s="3"/>
      <c r="F98" s="3"/>
      <c r="G98" s="3"/>
      <c r="H98" s="3"/>
    </row>
    <row r="99" spans="1:8" ht="45" customHeight="1" x14ac:dyDescent="0.4">
      <c r="A99" s="182" t="s">
        <v>173</v>
      </c>
      <c r="B99" s="133"/>
      <c r="C99" s="3"/>
      <c r="D99" s="3"/>
      <c r="E99" s="3"/>
      <c r="F99" s="3"/>
      <c r="G99" s="3"/>
      <c r="H99" s="3"/>
    </row>
    <row r="100" spans="1:8" ht="23.25" customHeight="1" x14ac:dyDescent="0.4">
      <c r="A100" s="191" t="s">
        <v>29</v>
      </c>
      <c r="B100" s="191"/>
      <c r="C100" s="191"/>
      <c r="D100" s="191"/>
      <c r="E100" s="191"/>
      <c r="F100" s="191"/>
      <c r="G100" s="191"/>
      <c r="H100" s="191"/>
    </row>
    <row r="101" spans="1:8" ht="30" customHeight="1" x14ac:dyDescent="0.4">
      <c r="A101" s="192" t="s">
        <v>30</v>
      </c>
      <c r="B101" s="192"/>
      <c r="C101" s="192"/>
      <c r="D101" s="192"/>
      <c r="E101" s="192"/>
      <c r="F101" s="192"/>
      <c r="G101" s="192"/>
      <c r="H101" s="192"/>
    </row>
    <row r="102" spans="1:8" ht="30" customHeight="1" x14ac:dyDescent="0.4">
      <c r="A102" s="134" t="s">
        <v>113</v>
      </c>
      <c r="B102" s="49">
        <v>0</v>
      </c>
      <c r="C102" s="47">
        <v>0.25</v>
      </c>
      <c r="D102" s="47">
        <v>0.5</v>
      </c>
      <c r="E102" s="47">
        <v>0.75</v>
      </c>
      <c r="F102" s="47">
        <v>1</v>
      </c>
      <c r="G102" s="48" t="s">
        <v>8</v>
      </c>
      <c r="H102" s="43" t="s">
        <v>15</v>
      </c>
    </row>
    <row r="103" spans="1:8" ht="30.75" customHeight="1" x14ac:dyDescent="0.4">
      <c r="A103" s="135" t="s">
        <v>174</v>
      </c>
      <c r="B103" s="133"/>
      <c r="C103" s="3"/>
      <c r="D103" s="3"/>
      <c r="E103" s="3"/>
      <c r="F103" s="3"/>
      <c r="G103" s="3"/>
      <c r="H103" s="3"/>
    </row>
    <row r="104" spans="1:8" ht="32.25" customHeight="1" x14ac:dyDescent="0.4">
      <c r="A104" s="135" t="s">
        <v>175</v>
      </c>
      <c r="B104" s="133"/>
      <c r="C104" s="3"/>
      <c r="D104" s="3"/>
      <c r="E104" s="3"/>
      <c r="F104" s="3"/>
      <c r="G104" s="3"/>
      <c r="H104" s="3"/>
    </row>
    <row r="105" spans="1:8" ht="39" customHeight="1" x14ac:dyDescent="0.4">
      <c r="A105" s="135" t="s">
        <v>176</v>
      </c>
      <c r="B105" s="133"/>
      <c r="C105" s="3"/>
      <c r="D105" s="3"/>
      <c r="E105" s="3"/>
      <c r="F105" s="3"/>
      <c r="G105" s="3"/>
      <c r="H105" s="3"/>
    </row>
    <row r="106" spans="1:8" ht="27" customHeight="1" x14ac:dyDescent="0.4">
      <c r="A106" s="193" t="s">
        <v>31</v>
      </c>
      <c r="B106" s="194"/>
      <c r="C106" s="194"/>
      <c r="D106" s="194"/>
      <c r="E106" s="194"/>
      <c r="F106" s="194"/>
      <c r="G106" s="194"/>
      <c r="H106" s="195"/>
    </row>
    <row r="107" spans="1:8" ht="27" customHeight="1" x14ac:dyDescent="0.4">
      <c r="A107" s="134" t="s">
        <v>25</v>
      </c>
      <c r="B107" s="49">
        <v>0</v>
      </c>
      <c r="C107" s="47">
        <v>0.25</v>
      </c>
      <c r="D107" s="47">
        <v>0.5</v>
      </c>
      <c r="E107" s="47">
        <v>0.75</v>
      </c>
      <c r="F107" s="47">
        <v>1</v>
      </c>
      <c r="G107" s="48" t="s">
        <v>8</v>
      </c>
      <c r="H107" s="43" t="s">
        <v>15</v>
      </c>
    </row>
    <row r="108" spans="1:8" ht="28.5" customHeight="1" x14ac:dyDescent="0.4">
      <c r="A108" s="135" t="s">
        <v>177</v>
      </c>
      <c r="B108" s="133"/>
      <c r="C108" s="3"/>
      <c r="D108" s="3"/>
      <c r="E108" s="3"/>
      <c r="F108" s="3"/>
      <c r="G108" s="3"/>
      <c r="H108" s="3"/>
    </row>
    <row r="109" spans="1:8" ht="39" customHeight="1" x14ac:dyDescent="0.4">
      <c r="A109" s="135" t="s">
        <v>178</v>
      </c>
      <c r="B109" s="133"/>
      <c r="C109" s="3"/>
      <c r="D109" s="3"/>
      <c r="E109" s="3"/>
      <c r="F109" s="3"/>
      <c r="G109" s="3"/>
      <c r="H109" s="3"/>
    </row>
    <row r="110" spans="1:8" ht="39" customHeight="1" x14ac:dyDescent="0.4">
      <c r="A110" s="135" t="s">
        <v>179</v>
      </c>
      <c r="B110" s="133"/>
      <c r="C110" s="3"/>
      <c r="D110" s="3"/>
      <c r="E110" s="3"/>
      <c r="F110" s="3"/>
      <c r="G110" s="3"/>
      <c r="H110" s="3"/>
    </row>
    <row r="111" spans="1:8" ht="42" customHeight="1" x14ac:dyDescent="0.4">
      <c r="A111" s="193" t="s">
        <v>32</v>
      </c>
      <c r="B111" s="194"/>
      <c r="C111" s="194"/>
      <c r="D111" s="194"/>
      <c r="E111" s="194"/>
      <c r="F111" s="194"/>
      <c r="G111" s="194"/>
      <c r="H111" s="195"/>
    </row>
    <row r="112" spans="1:8" ht="36" customHeight="1" x14ac:dyDescent="0.4">
      <c r="A112" s="134" t="s">
        <v>25</v>
      </c>
      <c r="B112" s="49">
        <v>0</v>
      </c>
      <c r="C112" s="47">
        <v>0.25</v>
      </c>
      <c r="D112" s="47">
        <v>0.5</v>
      </c>
      <c r="E112" s="47">
        <v>0.75</v>
      </c>
      <c r="F112" s="47">
        <v>1</v>
      </c>
      <c r="G112" s="48" t="s">
        <v>8</v>
      </c>
      <c r="H112" s="43" t="s">
        <v>15</v>
      </c>
    </row>
    <row r="113" spans="1:8" ht="50.25" customHeight="1" x14ac:dyDescent="0.4">
      <c r="A113" s="135" t="s">
        <v>180</v>
      </c>
      <c r="B113" s="133"/>
      <c r="C113" s="3"/>
      <c r="D113" s="3"/>
      <c r="E113" s="3"/>
      <c r="F113" s="3"/>
      <c r="G113" s="3"/>
      <c r="H113" s="3"/>
    </row>
    <row r="114" spans="1:8" ht="37.5" customHeight="1" x14ac:dyDescent="0.4">
      <c r="A114" s="135" t="s">
        <v>181</v>
      </c>
      <c r="B114" s="133"/>
      <c r="C114" s="3"/>
      <c r="D114" s="3"/>
      <c r="E114" s="3"/>
      <c r="F114" s="3"/>
      <c r="G114" s="3"/>
      <c r="H114" s="3"/>
    </row>
    <row r="115" spans="1:8" ht="35.25" customHeight="1" x14ac:dyDescent="0.4">
      <c r="A115" s="135" t="s">
        <v>182</v>
      </c>
      <c r="B115" s="133"/>
      <c r="C115" s="3"/>
      <c r="D115" s="3"/>
      <c r="E115" s="3"/>
      <c r="F115" s="3"/>
      <c r="G115" s="3"/>
      <c r="H115" s="3"/>
    </row>
    <row r="116" spans="1:8" ht="22.5" customHeight="1" x14ac:dyDescent="0.4">
      <c r="A116" s="196" t="s">
        <v>33</v>
      </c>
      <c r="B116" s="197"/>
      <c r="C116" s="197"/>
      <c r="D116" s="197"/>
      <c r="E116" s="197"/>
      <c r="F116" s="197"/>
      <c r="G116" s="197"/>
      <c r="H116" s="198"/>
    </row>
    <row r="117" spans="1:8" ht="27" customHeight="1" x14ac:dyDescent="0.4">
      <c r="A117" s="193" t="s">
        <v>114</v>
      </c>
      <c r="B117" s="194"/>
      <c r="C117" s="194"/>
      <c r="D117" s="194"/>
      <c r="E117" s="194"/>
      <c r="F117" s="194"/>
      <c r="G117" s="194"/>
      <c r="H117" s="195"/>
    </row>
    <row r="118" spans="1:8" ht="27" customHeight="1" x14ac:dyDescent="0.4">
      <c r="A118" s="134" t="s">
        <v>25</v>
      </c>
      <c r="B118" s="49">
        <v>0</v>
      </c>
      <c r="C118" s="47">
        <v>0.25</v>
      </c>
      <c r="D118" s="47">
        <v>0.5</v>
      </c>
      <c r="E118" s="47">
        <v>0.75</v>
      </c>
      <c r="F118" s="47">
        <v>1</v>
      </c>
      <c r="G118" s="48" t="s">
        <v>8</v>
      </c>
      <c r="H118" s="43" t="s">
        <v>15</v>
      </c>
    </row>
    <row r="119" spans="1:8" ht="54" customHeight="1" x14ac:dyDescent="0.4">
      <c r="A119" s="135" t="s">
        <v>183</v>
      </c>
      <c r="B119" s="133"/>
      <c r="C119" s="3"/>
      <c r="D119" s="3"/>
      <c r="E119" s="3"/>
      <c r="F119" s="3"/>
      <c r="G119" s="3"/>
      <c r="H119" s="3"/>
    </row>
    <row r="120" spans="1:8" ht="38.25" customHeight="1" x14ac:dyDescent="0.4">
      <c r="A120" s="135" t="s">
        <v>184</v>
      </c>
      <c r="B120" s="133"/>
      <c r="C120" s="3"/>
      <c r="D120" s="3"/>
      <c r="E120" s="3"/>
      <c r="F120" s="3"/>
      <c r="G120" s="3"/>
      <c r="H120" s="3"/>
    </row>
    <row r="121" spans="1:8" ht="36" customHeight="1" x14ac:dyDescent="0.4">
      <c r="A121" s="135" t="s">
        <v>185</v>
      </c>
      <c r="B121" s="133"/>
      <c r="C121" s="3"/>
      <c r="D121" s="3"/>
      <c r="E121" s="3"/>
      <c r="F121" s="3"/>
      <c r="G121" s="3"/>
      <c r="H121" s="3"/>
    </row>
    <row r="122" spans="1:8" ht="38.25" customHeight="1" x14ac:dyDescent="0.4">
      <c r="A122" s="188" t="s">
        <v>115</v>
      </c>
      <c r="B122" s="189"/>
      <c r="C122" s="189"/>
      <c r="D122" s="189"/>
      <c r="E122" s="189"/>
      <c r="F122" s="189"/>
      <c r="G122" s="189"/>
      <c r="H122" s="190"/>
    </row>
    <row r="123" spans="1:8" ht="27" customHeight="1" x14ac:dyDescent="0.4">
      <c r="A123" s="134" t="s">
        <v>25</v>
      </c>
      <c r="B123" s="49">
        <v>0</v>
      </c>
      <c r="C123" s="47">
        <v>0.25</v>
      </c>
      <c r="D123" s="47">
        <v>0.5</v>
      </c>
      <c r="E123" s="47">
        <v>0.75</v>
      </c>
      <c r="F123" s="47">
        <v>1</v>
      </c>
      <c r="G123" s="48" t="s">
        <v>8</v>
      </c>
      <c r="H123" s="43" t="s">
        <v>15</v>
      </c>
    </row>
    <row r="124" spans="1:8" ht="39.75" customHeight="1" x14ac:dyDescent="0.4">
      <c r="A124" s="135" t="s">
        <v>186</v>
      </c>
      <c r="B124" s="133"/>
      <c r="C124" s="3"/>
      <c r="D124" s="3"/>
      <c r="E124" s="3"/>
      <c r="F124" s="3"/>
      <c r="G124" s="3"/>
      <c r="H124" s="3"/>
    </row>
    <row r="125" spans="1:8" ht="39.75" customHeight="1" x14ac:dyDescent="0.4">
      <c r="A125" s="135" t="s">
        <v>187</v>
      </c>
      <c r="B125" s="133"/>
      <c r="C125" s="3"/>
      <c r="D125" s="3"/>
      <c r="E125" s="3"/>
      <c r="F125" s="3"/>
      <c r="G125" s="3"/>
      <c r="H125" s="3"/>
    </row>
    <row r="126" spans="1:8" customFormat="1" ht="56.25" customHeight="1" x14ac:dyDescent="0.45"/>
    <row r="127" spans="1:8" customFormat="1" ht="59.25" customHeight="1" x14ac:dyDescent="0.45"/>
    <row r="128" spans="1:8" customFormat="1" ht="68.25" customHeight="1" x14ac:dyDescent="0.45"/>
    <row r="129" customFormat="1" ht="27.75" customHeight="1" x14ac:dyDescent="0.45"/>
    <row r="130" customFormat="1" ht="24.75" customHeight="1" x14ac:dyDescent="0.45"/>
    <row r="131" customFormat="1" ht="38.25" customHeight="1" x14ac:dyDescent="0.45"/>
    <row r="132" customFormat="1" ht="21.75" customHeight="1" x14ac:dyDescent="0.45"/>
    <row r="133" customFormat="1" ht="39.75" customHeight="1" x14ac:dyDescent="0.45"/>
    <row r="134" customFormat="1" ht="40.5" customHeight="1" x14ac:dyDescent="0.45"/>
    <row r="135" customFormat="1" ht="36.75" customHeight="1" x14ac:dyDescent="0.45"/>
    <row r="136" customFormat="1" ht="27.75" customHeight="1" x14ac:dyDescent="0.45"/>
    <row r="137" customFormat="1" ht="27.75" customHeight="1" x14ac:dyDescent="0.45"/>
    <row r="138" customFormat="1" ht="27.75" customHeight="1" x14ac:dyDescent="0.45"/>
    <row r="139" customFormat="1" ht="39" customHeight="1" x14ac:dyDescent="0.45"/>
    <row r="140" customFormat="1" ht="69.75" customHeight="1" x14ac:dyDescent="0.45"/>
  </sheetData>
  <mergeCells count="30">
    <mergeCell ref="A31:H31"/>
    <mergeCell ref="A32:H32"/>
    <mergeCell ref="A37:H37"/>
    <mergeCell ref="A43:H43"/>
    <mergeCell ref="A47:H47"/>
    <mergeCell ref="A48:H48"/>
    <mergeCell ref="A1:H1"/>
    <mergeCell ref="A8:H11"/>
    <mergeCell ref="A12:H12"/>
    <mergeCell ref="A13:H13"/>
    <mergeCell ref="A18:H18"/>
    <mergeCell ref="A23:H23"/>
    <mergeCell ref="A78:H78"/>
    <mergeCell ref="A84:H84"/>
    <mergeCell ref="A85:H85"/>
    <mergeCell ref="A91:H91"/>
    <mergeCell ref="A55:H55"/>
    <mergeCell ref="A61:H61"/>
    <mergeCell ref="A62:H62"/>
    <mergeCell ref="A65:H65"/>
    <mergeCell ref="A70:H70"/>
    <mergeCell ref="A74:H74"/>
    <mergeCell ref="A122:H122"/>
    <mergeCell ref="A100:H100"/>
    <mergeCell ref="A101:H101"/>
    <mergeCell ref="A106:H106"/>
    <mergeCell ref="A111:H111"/>
    <mergeCell ref="A116:H116"/>
    <mergeCell ref="A117:H117"/>
    <mergeCell ref="A94:H9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77"/>
  <sheetViews>
    <sheetView topLeftCell="A28" zoomScale="80" zoomScaleNormal="80" workbookViewId="0">
      <selection activeCell="M69" sqref="M69"/>
    </sheetView>
  </sheetViews>
  <sheetFormatPr baseColWidth="10" defaultRowHeight="14.25" x14ac:dyDescent="0.45"/>
  <cols>
    <col min="1" max="1" width="4.59765625" style="37" customWidth="1"/>
    <col min="2" max="2" width="10" style="37" bestFit="1" customWidth="1"/>
    <col min="3" max="8" width="9.59765625" style="37" customWidth="1"/>
    <col min="9" max="9" width="11.3984375" style="37" customWidth="1"/>
    <col min="10" max="10" width="6" style="37" customWidth="1"/>
    <col min="11" max="11" width="8.1328125" style="37" customWidth="1"/>
    <col min="12" max="12" width="48.1328125" style="37" customWidth="1"/>
    <col min="13" max="13" width="25.3984375" style="37" customWidth="1"/>
    <col min="14" max="14" width="13.86328125" style="37" customWidth="1"/>
    <col min="15" max="15" width="15.86328125" style="37" customWidth="1"/>
    <col min="16" max="16" width="5.3984375" style="37" bestFit="1" customWidth="1"/>
    <col min="17" max="17" width="6.265625" style="37" customWidth="1"/>
    <col min="18" max="28" width="11.3984375" style="37" customWidth="1"/>
    <col min="29" max="29" width="176" style="37" customWidth="1"/>
    <col min="30" max="257" width="11.3984375" style="37" customWidth="1"/>
    <col min="258" max="258" width="4.59765625" style="37" customWidth="1"/>
    <col min="259" max="259" width="10" style="37" bestFit="1" customWidth="1"/>
    <col min="260" max="265" width="9.59765625" style="37" customWidth="1"/>
    <col min="266" max="267" width="11.3984375" style="37" customWidth="1"/>
    <col min="268" max="268" width="54.86328125" style="37" customWidth="1"/>
    <col min="269" max="269" width="20.265625" style="37" customWidth="1"/>
    <col min="270" max="270" width="13.86328125" style="37" customWidth="1"/>
    <col min="271" max="271" width="15.86328125" style="37" customWidth="1"/>
    <col min="272" max="272" width="5.3984375" style="37" bestFit="1" customWidth="1"/>
    <col min="273" max="273" width="6.265625" style="37" customWidth="1"/>
    <col min="274" max="513" width="11.3984375" style="37" customWidth="1"/>
    <col min="514" max="514" width="4.59765625" style="37" customWidth="1"/>
    <col min="515" max="515" width="10" style="37" bestFit="1" customWidth="1"/>
    <col min="516" max="521" width="9.59765625" style="37" customWidth="1"/>
    <col min="522" max="523" width="11.3984375" style="37" customWidth="1"/>
    <col min="524" max="524" width="54.86328125" style="37" customWidth="1"/>
    <col min="525" max="525" width="20.265625" style="37" customWidth="1"/>
    <col min="526" max="526" width="13.86328125" style="37" customWidth="1"/>
    <col min="527" max="527" width="15.86328125" style="37" customWidth="1"/>
    <col min="528" max="528" width="5.3984375" style="37" bestFit="1" customWidth="1"/>
    <col min="529" max="529" width="6.265625" style="37" customWidth="1"/>
    <col min="530" max="769" width="11.3984375" style="37" customWidth="1"/>
    <col min="770" max="770" width="4.59765625" style="37" customWidth="1"/>
    <col min="771" max="771" width="10" style="37" bestFit="1" customWidth="1"/>
    <col min="772" max="777" width="9.59765625" style="37" customWidth="1"/>
    <col min="778" max="779" width="11.3984375" style="37" customWidth="1"/>
    <col min="780" max="780" width="54.86328125" style="37" customWidth="1"/>
    <col min="781" max="781" width="20.265625" style="37" customWidth="1"/>
    <col min="782" max="782" width="13.86328125" style="37" customWidth="1"/>
    <col min="783" max="783" width="15.86328125" style="37" customWidth="1"/>
    <col min="784" max="784" width="5.3984375" style="37" bestFit="1" customWidth="1"/>
    <col min="785" max="785" width="6.265625" style="37" customWidth="1"/>
    <col min="786" max="1025" width="11.3984375" style="37" customWidth="1"/>
    <col min="1026" max="1026" width="4.59765625" style="37" customWidth="1"/>
    <col min="1027" max="1027" width="10" style="37" bestFit="1" customWidth="1"/>
    <col min="1028" max="1033" width="9.59765625" style="37" customWidth="1"/>
    <col min="1034" max="1035" width="11.3984375" style="37" customWidth="1"/>
    <col min="1036" max="1036" width="54.86328125" style="37" customWidth="1"/>
    <col min="1037" max="1037" width="20.265625" style="37" customWidth="1"/>
    <col min="1038" max="1038" width="13.86328125" style="37" customWidth="1"/>
    <col min="1039" max="1039" width="15.86328125" style="37" customWidth="1"/>
    <col min="1040" max="1040" width="5.3984375" style="37" bestFit="1" customWidth="1"/>
    <col min="1041" max="1041" width="6.265625" style="37" customWidth="1"/>
    <col min="1042" max="1281" width="11.3984375" style="37" customWidth="1"/>
    <col min="1282" max="1282" width="4.59765625" style="37" customWidth="1"/>
    <col min="1283" max="1283" width="10" style="37" bestFit="1" customWidth="1"/>
    <col min="1284" max="1289" width="9.59765625" style="37" customWidth="1"/>
    <col min="1290" max="1291" width="11.3984375" style="37" customWidth="1"/>
    <col min="1292" max="1292" width="54.86328125" style="37" customWidth="1"/>
    <col min="1293" max="1293" width="20.265625" style="37" customWidth="1"/>
    <col min="1294" max="1294" width="13.86328125" style="37" customWidth="1"/>
    <col min="1295" max="1295" width="15.86328125" style="37" customWidth="1"/>
    <col min="1296" max="1296" width="5.3984375" style="37" bestFit="1" customWidth="1"/>
    <col min="1297" max="1297" width="6.265625" style="37" customWidth="1"/>
    <col min="1298" max="1537" width="11.3984375" style="37" customWidth="1"/>
    <col min="1538" max="1538" width="4.59765625" style="37" customWidth="1"/>
    <col min="1539" max="1539" width="10" style="37" bestFit="1" customWidth="1"/>
    <col min="1540" max="1545" width="9.59765625" style="37" customWidth="1"/>
    <col min="1546" max="1547" width="11.3984375" style="37" customWidth="1"/>
    <col min="1548" max="1548" width="54.86328125" style="37" customWidth="1"/>
    <col min="1549" max="1549" width="20.265625" style="37" customWidth="1"/>
    <col min="1550" max="1550" width="13.86328125" style="37" customWidth="1"/>
    <col min="1551" max="1551" width="15.86328125" style="37" customWidth="1"/>
    <col min="1552" max="1552" width="5.3984375" style="37" bestFit="1" customWidth="1"/>
    <col min="1553" max="1553" width="6.265625" style="37" customWidth="1"/>
    <col min="1554" max="1793" width="11.3984375" style="37" customWidth="1"/>
    <col min="1794" max="1794" width="4.59765625" style="37" customWidth="1"/>
    <col min="1795" max="1795" width="10" style="37" bestFit="1" customWidth="1"/>
    <col min="1796" max="1801" width="9.59765625" style="37" customWidth="1"/>
    <col min="1802" max="1803" width="11.3984375" style="37" customWidth="1"/>
    <col min="1804" max="1804" width="54.86328125" style="37" customWidth="1"/>
    <col min="1805" max="1805" width="20.265625" style="37" customWidth="1"/>
    <col min="1806" max="1806" width="13.86328125" style="37" customWidth="1"/>
    <col min="1807" max="1807" width="15.86328125" style="37" customWidth="1"/>
    <col min="1808" max="1808" width="5.3984375" style="37" bestFit="1" customWidth="1"/>
    <col min="1809" max="1809" width="6.265625" style="37" customWidth="1"/>
    <col min="1810" max="2049" width="11.3984375" style="37" customWidth="1"/>
    <col min="2050" max="2050" width="4.59765625" style="37" customWidth="1"/>
    <col min="2051" max="2051" width="10" style="37" bestFit="1" customWidth="1"/>
    <col min="2052" max="2057" width="9.59765625" style="37" customWidth="1"/>
    <col min="2058" max="2059" width="11.3984375" style="37" customWidth="1"/>
    <col min="2060" max="2060" width="54.86328125" style="37" customWidth="1"/>
    <col min="2061" max="2061" width="20.265625" style="37" customWidth="1"/>
    <col min="2062" max="2062" width="13.86328125" style="37" customWidth="1"/>
    <col min="2063" max="2063" width="15.86328125" style="37" customWidth="1"/>
    <col min="2064" max="2064" width="5.3984375" style="37" bestFit="1" customWidth="1"/>
    <col min="2065" max="2065" width="6.265625" style="37" customWidth="1"/>
    <col min="2066" max="2305" width="11.3984375" style="37" customWidth="1"/>
    <col min="2306" max="2306" width="4.59765625" style="37" customWidth="1"/>
    <col min="2307" max="2307" width="10" style="37" bestFit="1" customWidth="1"/>
    <col min="2308" max="2313" width="9.59765625" style="37" customWidth="1"/>
    <col min="2314" max="2315" width="11.3984375" style="37" customWidth="1"/>
    <col min="2316" max="2316" width="54.86328125" style="37" customWidth="1"/>
    <col min="2317" max="2317" width="20.265625" style="37" customWidth="1"/>
    <col min="2318" max="2318" width="13.86328125" style="37" customWidth="1"/>
    <col min="2319" max="2319" width="15.86328125" style="37" customWidth="1"/>
    <col min="2320" max="2320" width="5.3984375" style="37" bestFit="1" customWidth="1"/>
    <col min="2321" max="2321" width="6.265625" style="37" customWidth="1"/>
    <col min="2322" max="2561" width="11.3984375" style="37" customWidth="1"/>
    <col min="2562" max="2562" width="4.59765625" style="37" customWidth="1"/>
    <col min="2563" max="2563" width="10" style="37" bestFit="1" customWidth="1"/>
    <col min="2564" max="2569" width="9.59765625" style="37" customWidth="1"/>
    <col min="2570" max="2571" width="11.3984375" style="37" customWidth="1"/>
    <col min="2572" max="2572" width="54.86328125" style="37" customWidth="1"/>
    <col min="2573" max="2573" width="20.265625" style="37" customWidth="1"/>
    <col min="2574" max="2574" width="13.86328125" style="37" customWidth="1"/>
    <col min="2575" max="2575" width="15.86328125" style="37" customWidth="1"/>
    <col min="2576" max="2576" width="5.3984375" style="37" bestFit="1" customWidth="1"/>
    <col min="2577" max="2577" width="6.265625" style="37" customWidth="1"/>
    <col min="2578" max="2817" width="11.3984375" style="37" customWidth="1"/>
    <col min="2818" max="2818" width="4.59765625" style="37" customWidth="1"/>
    <col min="2819" max="2819" width="10" style="37" bestFit="1" customWidth="1"/>
    <col min="2820" max="2825" width="9.59765625" style="37" customWidth="1"/>
    <col min="2826" max="2827" width="11.3984375" style="37" customWidth="1"/>
    <col min="2828" max="2828" width="54.86328125" style="37" customWidth="1"/>
    <col min="2829" max="2829" width="20.265625" style="37" customWidth="1"/>
    <col min="2830" max="2830" width="13.86328125" style="37" customWidth="1"/>
    <col min="2831" max="2831" width="15.86328125" style="37" customWidth="1"/>
    <col min="2832" max="2832" width="5.3984375" style="37" bestFit="1" customWidth="1"/>
    <col min="2833" max="2833" width="6.265625" style="37" customWidth="1"/>
    <col min="2834" max="3073" width="11.3984375" style="37" customWidth="1"/>
    <col min="3074" max="3074" width="4.59765625" style="37" customWidth="1"/>
    <col min="3075" max="3075" width="10" style="37" bestFit="1" customWidth="1"/>
    <col min="3076" max="3081" width="9.59765625" style="37" customWidth="1"/>
    <col min="3082" max="3083" width="11.3984375" style="37" customWidth="1"/>
    <col min="3084" max="3084" width="54.86328125" style="37" customWidth="1"/>
    <col min="3085" max="3085" width="20.265625" style="37" customWidth="1"/>
    <col min="3086" max="3086" width="13.86328125" style="37" customWidth="1"/>
    <col min="3087" max="3087" width="15.86328125" style="37" customWidth="1"/>
    <col min="3088" max="3088" width="5.3984375" style="37" bestFit="1" customWidth="1"/>
    <col min="3089" max="3089" width="6.265625" style="37" customWidth="1"/>
    <col min="3090" max="3329" width="11.3984375" style="37" customWidth="1"/>
    <col min="3330" max="3330" width="4.59765625" style="37" customWidth="1"/>
    <col min="3331" max="3331" width="10" style="37" bestFit="1" customWidth="1"/>
    <col min="3332" max="3337" width="9.59765625" style="37" customWidth="1"/>
    <col min="3338" max="3339" width="11.3984375" style="37" customWidth="1"/>
    <col min="3340" max="3340" width="54.86328125" style="37" customWidth="1"/>
    <col min="3341" max="3341" width="20.265625" style="37" customWidth="1"/>
    <col min="3342" max="3342" width="13.86328125" style="37" customWidth="1"/>
    <col min="3343" max="3343" width="15.86328125" style="37" customWidth="1"/>
    <col min="3344" max="3344" width="5.3984375" style="37" bestFit="1" customWidth="1"/>
    <col min="3345" max="3345" width="6.265625" style="37" customWidth="1"/>
    <col min="3346" max="3585" width="11.3984375" style="37" customWidth="1"/>
    <col min="3586" max="3586" width="4.59765625" style="37" customWidth="1"/>
    <col min="3587" max="3587" width="10" style="37" bestFit="1" customWidth="1"/>
    <col min="3588" max="3593" width="9.59765625" style="37" customWidth="1"/>
    <col min="3594" max="3595" width="11.3984375" style="37" customWidth="1"/>
    <col min="3596" max="3596" width="54.86328125" style="37" customWidth="1"/>
    <col min="3597" max="3597" width="20.265625" style="37" customWidth="1"/>
    <col min="3598" max="3598" width="13.86328125" style="37" customWidth="1"/>
    <col min="3599" max="3599" width="15.86328125" style="37" customWidth="1"/>
    <col min="3600" max="3600" width="5.3984375" style="37" bestFit="1" customWidth="1"/>
    <col min="3601" max="3601" width="6.265625" style="37" customWidth="1"/>
    <col min="3602" max="3841" width="11.3984375" style="37" customWidth="1"/>
    <col min="3842" max="3842" width="4.59765625" style="37" customWidth="1"/>
    <col min="3843" max="3843" width="10" style="37" bestFit="1" customWidth="1"/>
    <col min="3844" max="3849" width="9.59765625" style="37" customWidth="1"/>
    <col min="3850" max="3851" width="11.3984375" style="37" customWidth="1"/>
    <col min="3852" max="3852" width="54.86328125" style="37" customWidth="1"/>
    <col min="3853" max="3853" width="20.265625" style="37" customWidth="1"/>
    <col min="3854" max="3854" width="13.86328125" style="37" customWidth="1"/>
    <col min="3855" max="3855" width="15.86328125" style="37" customWidth="1"/>
    <col min="3856" max="3856" width="5.3984375" style="37" bestFit="1" customWidth="1"/>
    <col min="3857" max="3857" width="6.265625" style="37" customWidth="1"/>
    <col min="3858" max="4097" width="11.3984375" style="37" customWidth="1"/>
    <col min="4098" max="4098" width="4.59765625" style="37" customWidth="1"/>
    <col min="4099" max="4099" width="10" style="37" bestFit="1" customWidth="1"/>
    <col min="4100" max="4105" width="9.59765625" style="37" customWidth="1"/>
    <col min="4106" max="4107" width="11.3984375" style="37" customWidth="1"/>
    <col min="4108" max="4108" width="54.86328125" style="37" customWidth="1"/>
    <col min="4109" max="4109" width="20.265625" style="37" customWidth="1"/>
    <col min="4110" max="4110" width="13.86328125" style="37" customWidth="1"/>
    <col min="4111" max="4111" width="15.86328125" style="37" customWidth="1"/>
    <col min="4112" max="4112" width="5.3984375" style="37" bestFit="1" customWidth="1"/>
    <col min="4113" max="4113" width="6.265625" style="37" customWidth="1"/>
    <col min="4114" max="4353" width="11.3984375" style="37" customWidth="1"/>
    <col min="4354" max="4354" width="4.59765625" style="37" customWidth="1"/>
    <col min="4355" max="4355" width="10" style="37" bestFit="1" customWidth="1"/>
    <col min="4356" max="4361" width="9.59765625" style="37" customWidth="1"/>
    <col min="4362" max="4363" width="11.3984375" style="37" customWidth="1"/>
    <col min="4364" max="4364" width="54.86328125" style="37" customWidth="1"/>
    <col min="4365" max="4365" width="20.265625" style="37" customWidth="1"/>
    <col min="4366" max="4366" width="13.86328125" style="37" customWidth="1"/>
    <col min="4367" max="4367" width="15.86328125" style="37" customWidth="1"/>
    <col min="4368" max="4368" width="5.3984375" style="37" bestFit="1" customWidth="1"/>
    <col min="4369" max="4369" width="6.265625" style="37" customWidth="1"/>
    <col min="4370" max="4609" width="11.3984375" style="37" customWidth="1"/>
    <col min="4610" max="4610" width="4.59765625" style="37" customWidth="1"/>
    <col min="4611" max="4611" width="10" style="37" bestFit="1" customWidth="1"/>
    <col min="4612" max="4617" width="9.59765625" style="37" customWidth="1"/>
    <col min="4618" max="4619" width="11.3984375" style="37" customWidth="1"/>
    <col min="4620" max="4620" width="54.86328125" style="37" customWidth="1"/>
    <col min="4621" max="4621" width="20.265625" style="37" customWidth="1"/>
    <col min="4622" max="4622" width="13.86328125" style="37" customWidth="1"/>
    <col min="4623" max="4623" width="15.86328125" style="37" customWidth="1"/>
    <col min="4624" max="4624" width="5.3984375" style="37" bestFit="1" customWidth="1"/>
    <col min="4625" max="4625" width="6.265625" style="37" customWidth="1"/>
    <col min="4626" max="4865" width="11.3984375" style="37" customWidth="1"/>
    <col min="4866" max="4866" width="4.59765625" style="37" customWidth="1"/>
    <col min="4867" max="4867" width="10" style="37" bestFit="1" customWidth="1"/>
    <col min="4868" max="4873" width="9.59765625" style="37" customWidth="1"/>
    <col min="4874" max="4875" width="11.3984375" style="37" customWidth="1"/>
    <col min="4876" max="4876" width="54.86328125" style="37" customWidth="1"/>
    <col min="4877" max="4877" width="20.265625" style="37" customWidth="1"/>
    <col min="4878" max="4878" width="13.86328125" style="37" customWidth="1"/>
    <col min="4879" max="4879" width="15.86328125" style="37" customWidth="1"/>
    <col min="4880" max="4880" width="5.3984375" style="37" bestFit="1" customWidth="1"/>
    <col min="4881" max="4881" width="6.265625" style="37" customWidth="1"/>
    <col min="4882" max="5121" width="11.3984375" style="37" customWidth="1"/>
    <col min="5122" max="5122" width="4.59765625" style="37" customWidth="1"/>
    <col min="5123" max="5123" width="10" style="37" bestFit="1" customWidth="1"/>
    <col min="5124" max="5129" width="9.59765625" style="37" customWidth="1"/>
    <col min="5130" max="5131" width="11.3984375" style="37" customWidth="1"/>
    <col min="5132" max="5132" width="54.86328125" style="37" customWidth="1"/>
    <col min="5133" max="5133" width="20.265625" style="37" customWidth="1"/>
    <col min="5134" max="5134" width="13.86328125" style="37" customWidth="1"/>
    <col min="5135" max="5135" width="15.86328125" style="37" customWidth="1"/>
    <col min="5136" max="5136" width="5.3984375" style="37" bestFit="1" customWidth="1"/>
    <col min="5137" max="5137" width="6.265625" style="37" customWidth="1"/>
    <col min="5138" max="5377" width="11.3984375" style="37" customWidth="1"/>
    <col min="5378" max="5378" width="4.59765625" style="37" customWidth="1"/>
    <col min="5379" max="5379" width="10" style="37" bestFit="1" customWidth="1"/>
    <col min="5380" max="5385" width="9.59765625" style="37" customWidth="1"/>
    <col min="5386" max="5387" width="11.3984375" style="37" customWidth="1"/>
    <col min="5388" max="5388" width="54.86328125" style="37" customWidth="1"/>
    <col min="5389" max="5389" width="20.265625" style="37" customWidth="1"/>
    <col min="5390" max="5390" width="13.86328125" style="37" customWidth="1"/>
    <col min="5391" max="5391" width="15.86328125" style="37" customWidth="1"/>
    <col min="5392" max="5392" width="5.3984375" style="37" bestFit="1" customWidth="1"/>
    <col min="5393" max="5393" width="6.265625" style="37" customWidth="1"/>
    <col min="5394" max="5633" width="11.3984375" style="37" customWidth="1"/>
    <col min="5634" max="5634" width="4.59765625" style="37" customWidth="1"/>
    <col min="5635" max="5635" width="10" style="37" bestFit="1" customWidth="1"/>
    <col min="5636" max="5641" width="9.59765625" style="37" customWidth="1"/>
    <col min="5642" max="5643" width="11.3984375" style="37" customWidth="1"/>
    <col min="5644" max="5644" width="54.86328125" style="37" customWidth="1"/>
    <col min="5645" max="5645" width="20.265625" style="37" customWidth="1"/>
    <col min="5646" max="5646" width="13.86328125" style="37" customWidth="1"/>
    <col min="5647" max="5647" width="15.86328125" style="37" customWidth="1"/>
    <col min="5648" max="5648" width="5.3984375" style="37" bestFit="1" customWidth="1"/>
    <col min="5649" max="5649" width="6.265625" style="37" customWidth="1"/>
    <col min="5650" max="5889" width="11.3984375" style="37" customWidth="1"/>
    <col min="5890" max="5890" width="4.59765625" style="37" customWidth="1"/>
    <col min="5891" max="5891" width="10" style="37" bestFit="1" customWidth="1"/>
    <col min="5892" max="5897" width="9.59765625" style="37" customWidth="1"/>
    <col min="5898" max="5899" width="11.3984375" style="37" customWidth="1"/>
    <col min="5900" max="5900" width="54.86328125" style="37" customWidth="1"/>
    <col min="5901" max="5901" width="20.265625" style="37" customWidth="1"/>
    <col min="5902" max="5902" width="13.86328125" style="37" customWidth="1"/>
    <col min="5903" max="5903" width="15.86328125" style="37" customWidth="1"/>
    <col min="5904" max="5904" width="5.3984375" style="37" bestFit="1" customWidth="1"/>
    <col min="5905" max="5905" width="6.265625" style="37" customWidth="1"/>
    <col min="5906" max="6145" width="11.3984375" style="37" customWidth="1"/>
    <col min="6146" max="6146" width="4.59765625" style="37" customWidth="1"/>
    <col min="6147" max="6147" width="10" style="37" bestFit="1" customWidth="1"/>
    <col min="6148" max="6153" width="9.59765625" style="37" customWidth="1"/>
    <col min="6154" max="6155" width="11.3984375" style="37" customWidth="1"/>
    <col min="6156" max="6156" width="54.86328125" style="37" customWidth="1"/>
    <col min="6157" max="6157" width="20.265625" style="37" customWidth="1"/>
    <col min="6158" max="6158" width="13.86328125" style="37" customWidth="1"/>
    <col min="6159" max="6159" width="15.86328125" style="37" customWidth="1"/>
    <col min="6160" max="6160" width="5.3984375" style="37" bestFit="1" customWidth="1"/>
    <col min="6161" max="6161" width="6.265625" style="37" customWidth="1"/>
    <col min="6162" max="6401" width="11.3984375" style="37" customWidth="1"/>
    <col min="6402" max="6402" width="4.59765625" style="37" customWidth="1"/>
    <col min="6403" max="6403" width="10" style="37" bestFit="1" customWidth="1"/>
    <col min="6404" max="6409" width="9.59765625" style="37" customWidth="1"/>
    <col min="6410" max="6411" width="11.3984375" style="37" customWidth="1"/>
    <col min="6412" max="6412" width="54.86328125" style="37" customWidth="1"/>
    <col min="6413" max="6413" width="20.265625" style="37" customWidth="1"/>
    <col min="6414" max="6414" width="13.86328125" style="37" customWidth="1"/>
    <col min="6415" max="6415" width="15.86328125" style="37" customWidth="1"/>
    <col min="6416" max="6416" width="5.3984375" style="37" bestFit="1" customWidth="1"/>
    <col min="6417" max="6417" width="6.265625" style="37" customWidth="1"/>
    <col min="6418" max="6657" width="11.3984375" style="37" customWidth="1"/>
    <col min="6658" max="6658" width="4.59765625" style="37" customWidth="1"/>
    <col min="6659" max="6659" width="10" style="37" bestFit="1" customWidth="1"/>
    <col min="6660" max="6665" width="9.59765625" style="37" customWidth="1"/>
    <col min="6666" max="6667" width="11.3984375" style="37" customWidth="1"/>
    <col min="6668" max="6668" width="54.86328125" style="37" customWidth="1"/>
    <col min="6669" max="6669" width="20.265625" style="37" customWidth="1"/>
    <col min="6670" max="6670" width="13.86328125" style="37" customWidth="1"/>
    <col min="6671" max="6671" width="15.86328125" style="37" customWidth="1"/>
    <col min="6672" max="6672" width="5.3984375" style="37" bestFit="1" customWidth="1"/>
    <col min="6673" max="6673" width="6.265625" style="37" customWidth="1"/>
    <col min="6674" max="6913" width="11.3984375" style="37" customWidth="1"/>
    <col min="6914" max="6914" width="4.59765625" style="37" customWidth="1"/>
    <col min="6915" max="6915" width="10" style="37" bestFit="1" customWidth="1"/>
    <col min="6916" max="6921" width="9.59765625" style="37" customWidth="1"/>
    <col min="6922" max="6923" width="11.3984375" style="37" customWidth="1"/>
    <col min="6924" max="6924" width="54.86328125" style="37" customWidth="1"/>
    <col min="6925" max="6925" width="20.265625" style="37" customWidth="1"/>
    <col min="6926" max="6926" width="13.86328125" style="37" customWidth="1"/>
    <col min="6927" max="6927" width="15.86328125" style="37" customWidth="1"/>
    <col min="6928" max="6928" width="5.3984375" style="37" bestFit="1" customWidth="1"/>
    <col min="6929" max="6929" width="6.265625" style="37" customWidth="1"/>
    <col min="6930" max="7169" width="11.3984375" style="37" customWidth="1"/>
    <col min="7170" max="7170" width="4.59765625" style="37" customWidth="1"/>
    <col min="7171" max="7171" width="10" style="37" bestFit="1" customWidth="1"/>
    <col min="7172" max="7177" width="9.59765625" style="37" customWidth="1"/>
    <col min="7178" max="7179" width="11.3984375" style="37" customWidth="1"/>
    <col min="7180" max="7180" width="54.86328125" style="37" customWidth="1"/>
    <col min="7181" max="7181" width="20.265625" style="37" customWidth="1"/>
    <col min="7182" max="7182" width="13.86328125" style="37" customWidth="1"/>
    <col min="7183" max="7183" width="15.86328125" style="37" customWidth="1"/>
    <col min="7184" max="7184" width="5.3984375" style="37" bestFit="1" customWidth="1"/>
    <col min="7185" max="7185" width="6.265625" style="37" customWidth="1"/>
    <col min="7186" max="7425" width="11.3984375" style="37" customWidth="1"/>
    <col min="7426" max="7426" width="4.59765625" style="37" customWidth="1"/>
    <col min="7427" max="7427" width="10" style="37" bestFit="1" customWidth="1"/>
    <col min="7428" max="7433" width="9.59765625" style="37" customWidth="1"/>
    <col min="7434" max="7435" width="11.3984375" style="37" customWidth="1"/>
    <col min="7436" max="7436" width="54.86328125" style="37" customWidth="1"/>
    <col min="7437" max="7437" width="20.265625" style="37" customWidth="1"/>
    <col min="7438" max="7438" width="13.86328125" style="37" customWidth="1"/>
    <col min="7439" max="7439" width="15.86328125" style="37" customWidth="1"/>
    <col min="7440" max="7440" width="5.3984375" style="37" bestFit="1" customWidth="1"/>
    <col min="7441" max="7441" width="6.265625" style="37" customWidth="1"/>
    <col min="7442" max="7681" width="11.3984375" style="37" customWidth="1"/>
    <col min="7682" max="7682" width="4.59765625" style="37" customWidth="1"/>
    <col min="7683" max="7683" width="10" style="37" bestFit="1" customWidth="1"/>
    <col min="7684" max="7689" width="9.59765625" style="37" customWidth="1"/>
    <col min="7690" max="7691" width="11.3984375" style="37" customWidth="1"/>
    <col min="7692" max="7692" width="54.86328125" style="37" customWidth="1"/>
    <col min="7693" max="7693" width="20.265625" style="37" customWidth="1"/>
    <col min="7694" max="7694" width="13.86328125" style="37" customWidth="1"/>
    <col min="7695" max="7695" width="15.86328125" style="37" customWidth="1"/>
    <col min="7696" max="7696" width="5.3984375" style="37" bestFit="1" customWidth="1"/>
    <col min="7697" max="7697" width="6.265625" style="37" customWidth="1"/>
    <col min="7698" max="7937" width="11.3984375" style="37" customWidth="1"/>
    <col min="7938" max="7938" width="4.59765625" style="37" customWidth="1"/>
    <col min="7939" max="7939" width="10" style="37" bestFit="1" customWidth="1"/>
    <col min="7940" max="7945" width="9.59765625" style="37" customWidth="1"/>
    <col min="7946" max="7947" width="11.3984375" style="37" customWidth="1"/>
    <col min="7948" max="7948" width="54.86328125" style="37" customWidth="1"/>
    <col min="7949" max="7949" width="20.265625" style="37" customWidth="1"/>
    <col min="7950" max="7950" width="13.86328125" style="37" customWidth="1"/>
    <col min="7951" max="7951" width="15.86328125" style="37" customWidth="1"/>
    <col min="7952" max="7952" width="5.3984375" style="37" bestFit="1" customWidth="1"/>
    <col min="7953" max="7953" width="6.265625" style="37" customWidth="1"/>
    <col min="7954" max="8193" width="11.3984375" style="37" customWidth="1"/>
    <col min="8194" max="8194" width="4.59765625" style="37" customWidth="1"/>
    <col min="8195" max="8195" width="10" style="37" bestFit="1" customWidth="1"/>
    <col min="8196" max="8201" width="9.59765625" style="37" customWidth="1"/>
    <col min="8202" max="8203" width="11.3984375" style="37" customWidth="1"/>
    <col min="8204" max="8204" width="54.86328125" style="37" customWidth="1"/>
    <col min="8205" max="8205" width="20.265625" style="37" customWidth="1"/>
    <col min="8206" max="8206" width="13.86328125" style="37" customWidth="1"/>
    <col min="8207" max="8207" width="15.86328125" style="37" customWidth="1"/>
    <col min="8208" max="8208" width="5.3984375" style="37" bestFit="1" customWidth="1"/>
    <col min="8209" max="8209" width="6.265625" style="37" customWidth="1"/>
    <col min="8210" max="8449" width="11.3984375" style="37" customWidth="1"/>
    <col min="8450" max="8450" width="4.59765625" style="37" customWidth="1"/>
    <col min="8451" max="8451" width="10" style="37" bestFit="1" customWidth="1"/>
    <col min="8452" max="8457" width="9.59765625" style="37" customWidth="1"/>
    <col min="8458" max="8459" width="11.3984375" style="37" customWidth="1"/>
    <col min="8460" max="8460" width="54.86328125" style="37" customWidth="1"/>
    <col min="8461" max="8461" width="20.265625" style="37" customWidth="1"/>
    <col min="8462" max="8462" width="13.86328125" style="37" customWidth="1"/>
    <col min="8463" max="8463" width="15.86328125" style="37" customWidth="1"/>
    <col min="8464" max="8464" width="5.3984375" style="37" bestFit="1" customWidth="1"/>
    <col min="8465" max="8465" width="6.265625" style="37" customWidth="1"/>
    <col min="8466" max="8705" width="11.3984375" style="37" customWidth="1"/>
    <col min="8706" max="8706" width="4.59765625" style="37" customWidth="1"/>
    <col min="8707" max="8707" width="10" style="37" bestFit="1" customWidth="1"/>
    <col min="8708" max="8713" width="9.59765625" style="37" customWidth="1"/>
    <col min="8714" max="8715" width="11.3984375" style="37" customWidth="1"/>
    <col min="8716" max="8716" width="54.86328125" style="37" customWidth="1"/>
    <col min="8717" max="8717" width="20.265625" style="37" customWidth="1"/>
    <col min="8718" max="8718" width="13.86328125" style="37" customWidth="1"/>
    <col min="8719" max="8719" width="15.86328125" style="37" customWidth="1"/>
    <col min="8720" max="8720" width="5.3984375" style="37" bestFit="1" customWidth="1"/>
    <col min="8721" max="8721" width="6.265625" style="37" customWidth="1"/>
    <col min="8722" max="8961" width="11.3984375" style="37" customWidth="1"/>
    <col min="8962" max="8962" width="4.59765625" style="37" customWidth="1"/>
    <col min="8963" max="8963" width="10" style="37" bestFit="1" customWidth="1"/>
    <col min="8964" max="8969" width="9.59765625" style="37" customWidth="1"/>
    <col min="8970" max="8971" width="11.3984375" style="37" customWidth="1"/>
    <col min="8972" max="8972" width="54.86328125" style="37" customWidth="1"/>
    <col min="8973" max="8973" width="20.265625" style="37" customWidth="1"/>
    <col min="8974" max="8974" width="13.86328125" style="37" customWidth="1"/>
    <col min="8975" max="8975" width="15.86328125" style="37" customWidth="1"/>
    <col min="8976" max="8976" width="5.3984375" style="37" bestFit="1" customWidth="1"/>
    <col min="8977" max="8977" width="6.265625" style="37" customWidth="1"/>
    <col min="8978" max="9217" width="11.3984375" style="37" customWidth="1"/>
    <col min="9218" max="9218" width="4.59765625" style="37" customWidth="1"/>
    <col min="9219" max="9219" width="10" style="37" bestFit="1" customWidth="1"/>
    <col min="9220" max="9225" width="9.59765625" style="37" customWidth="1"/>
    <col min="9226" max="9227" width="11.3984375" style="37" customWidth="1"/>
    <col min="9228" max="9228" width="54.86328125" style="37" customWidth="1"/>
    <col min="9229" max="9229" width="20.265625" style="37" customWidth="1"/>
    <col min="9230" max="9230" width="13.86328125" style="37" customWidth="1"/>
    <col min="9231" max="9231" width="15.86328125" style="37" customWidth="1"/>
    <col min="9232" max="9232" width="5.3984375" style="37" bestFit="1" customWidth="1"/>
    <col min="9233" max="9233" width="6.265625" style="37" customWidth="1"/>
    <col min="9234" max="9473" width="11.3984375" style="37" customWidth="1"/>
    <col min="9474" max="9474" width="4.59765625" style="37" customWidth="1"/>
    <col min="9475" max="9475" width="10" style="37" bestFit="1" customWidth="1"/>
    <col min="9476" max="9481" width="9.59765625" style="37" customWidth="1"/>
    <col min="9482" max="9483" width="11.3984375" style="37" customWidth="1"/>
    <col min="9484" max="9484" width="54.86328125" style="37" customWidth="1"/>
    <col min="9485" max="9485" width="20.265625" style="37" customWidth="1"/>
    <col min="9486" max="9486" width="13.86328125" style="37" customWidth="1"/>
    <col min="9487" max="9487" width="15.86328125" style="37" customWidth="1"/>
    <col min="9488" max="9488" width="5.3984375" style="37" bestFit="1" customWidth="1"/>
    <col min="9489" max="9489" width="6.265625" style="37" customWidth="1"/>
    <col min="9490" max="9729" width="11.3984375" style="37" customWidth="1"/>
    <col min="9730" max="9730" width="4.59765625" style="37" customWidth="1"/>
    <col min="9731" max="9731" width="10" style="37" bestFit="1" customWidth="1"/>
    <col min="9732" max="9737" width="9.59765625" style="37" customWidth="1"/>
    <col min="9738" max="9739" width="11.3984375" style="37" customWidth="1"/>
    <col min="9740" max="9740" width="54.86328125" style="37" customWidth="1"/>
    <col min="9741" max="9741" width="20.265625" style="37" customWidth="1"/>
    <col min="9742" max="9742" width="13.86328125" style="37" customWidth="1"/>
    <col min="9743" max="9743" width="15.86328125" style="37" customWidth="1"/>
    <col min="9744" max="9744" width="5.3984375" style="37" bestFit="1" customWidth="1"/>
    <col min="9745" max="9745" width="6.265625" style="37" customWidth="1"/>
    <col min="9746" max="9985" width="11.3984375" style="37" customWidth="1"/>
    <col min="9986" max="9986" width="4.59765625" style="37" customWidth="1"/>
    <col min="9987" max="9987" width="10" style="37" bestFit="1" customWidth="1"/>
    <col min="9988" max="9993" width="9.59765625" style="37" customWidth="1"/>
    <col min="9994" max="9995" width="11.3984375" style="37" customWidth="1"/>
    <col min="9996" max="9996" width="54.86328125" style="37" customWidth="1"/>
    <col min="9997" max="9997" width="20.265625" style="37" customWidth="1"/>
    <col min="9998" max="9998" width="13.86328125" style="37" customWidth="1"/>
    <col min="9999" max="9999" width="15.86328125" style="37" customWidth="1"/>
    <col min="10000" max="10000" width="5.3984375" style="37" bestFit="1" customWidth="1"/>
    <col min="10001" max="10001" width="6.265625" style="37" customWidth="1"/>
    <col min="10002" max="10241" width="11.3984375" style="37" customWidth="1"/>
    <col min="10242" max="10242" width="4.59765625" style="37" customWidth="1"/>
    <col min="10243" max="10243" width="10" style="37" bestFit="1" customWidth="1"/>
    <col min="10244" max="10249" width="9.59765625" style="37" customWidth="1"/>
    <col min="10250" max="10251" width="11.3984375" style="37" customWidth="1"/>
    <col min="10252" max="10252" width="54.86328125" style="37" customWidth="1"/>
    <col min="10253" max="10253" width="20.265625" style="37" customWidth="1"/>
    <col min="10254" max="10254" width="13.86328125" style="37" customWidth="1"/>
    <col min="10255" max="10255" width="15.86328125" style="37" customWidth="1"/>
    <col min="10256" max="10256" width="5.3984375" style="37" bestFit="1" customWidth="1"/>
    <col min="10257" max="10257" width="6.265625" style="37" customWidth="1"/>
    <col min="10258" max="10497" width="11.3984375" style="37" customWidth="1"/>
    <col min="10498" max="10498" width="4.59765625" style="37" customWidth="1"/>
    <col min="10499" max="10499" width="10" style="37" bestFit="1" customWidth="1"/>
    <col min="10500" max="10505" width="9.59765625" style="37" customWidth="1"/>
    <col min="10506" max="10507" width="11.3984375" style="37" customWidth="1"/>
    <col min="10508" max="10508" width="54.86328125" style="37" customWidth="1"/>
    <col min="10509" max="10509" width="20.265625" style="37" customWidth="1"/>
    <col min="10510" max="10510" width="13.86328125" style="37" customWidth="1"/>
    <col min="10511" max="10511" width="15.86328125" style="37" customWidth="1"/>
    <col min="10512" max="10512" width="5.3984375" style="37" bestFit="1" customWidth="1"/>
    <col min="10513" max="10513" width="6.265625" style="37" customWidth="1"/>
    <col min="10514" max="10753" width="11.3984375" style="37" customWidth="1"/>
    <col min="10754" max="10754" width="4.59765625" style="37" customWidth="1"/>
    <col min="10755" max="10755" width="10" style="37" bestFit="1" customWidth="1"/>
    <col min="10756" max="10761" width="9.59765625" style="37" customWidth="1"/>
    <col min="10762" max="10763" width="11.3984375" style="37" customWidth="1"/>
    <col min="10764" max="10764" width="54.86328125" style="37" customWidth="1"/>
    <col min="10765" max="10765" width="20.265625" style="37" customWidth="1"/>
    <col min="10766" max="10766" width="13.86328125" style="37" customWidth="1"/>
    <col min="10767" max="10767" width="15.86328125" style="37" customWidth="1"/>
    <col min="10768" max="10768" width="5.3984375" style="37" bestFit="1" customWidth="1"/>
    <col min="10769" max="10769" width="6.265625" style="37" customWidth="1"/>
    <col min="10770" max="11009" width="11.3984375" style="37" customWidth="1"/>
    <col min="11010" max="11010" width="4.59765625" style="37" customWidth="1"/>
    <col min="11011" max="11011" width="10" style="37" bestFit="1" customWidth="1"/>
    <col min="11012" max="11017" width="9.59765625" style="37" customWidth="1"/>
    <col min="11018" max="11019" width="11.3984375" style="37" customWidth="1"/>
    <col min="11020" max="11020" width="54.86328125" style="37" customWidth="1"/>
    <col min="11021" max="11021" width="20.265625" style="37" customWidth="1"/>
    <col min="11022" max="11022" width="13.86328125" style="37" customWidth="1"/>
    <col min="11023" max="11023" width="15.86328125" style="37" customWidth="1"/>
    <col min="11024" max="11024" width="5.3984375" style="37" bestFit="1" customWidth="1"/>
    <col min="11025" max="11025" width="6.265625" style="37" customWidth="1"/>
    <col min="11026" max="11265" width="11.3984375" style="37" customWidth="1"/>
    <col min="11266" max="11266" width="4.59765625" style="37" customWidth="1"/>
    <col min="11267" max="11267" width="10" style="37" bestFit="1" customWidth="1"/>
    <col min="11268" max="11273" width="9.59765625" style="37" customWidth="1"/>
    <col min="11274" max="11275" width="11.3984375" style="37" customWidth="1"/>
    <col min="11276" max="11276" width="54.86328125" style="37" customWidth="1"/>
    <col min="11277" max="11277" width="20.265625" style="37" customWidth="1"/>
    <col min="11278" max="11278" width="13.86328125" style="37" customWidth="1"/>
    <col min="11279" max="11279" width="15.86328125" style="37" customWidth="1"/>
    <col min="11280" max="11280" width="5.3984375" style="37" bestFit="1" customWidth="1"/>
    <col min="11281" max="11281" width="6.265625" style="37" customWidth="1"/>
    <col min="11282" max="11521" width="11.3984375" style="37" customWidth="1"/>
    <col min="11522" max="11522" width="4.59765625" style="37" customWidth="1"/>
    <col min="11523" max="11523" width="10" style="37" bestFit="1" customWidth="1"/>
    <col min="11524" max="11529" width="9.59765625" style="37" customWidth="1"/>
    <col min="11530" max="11531" width="11.3984375" style="37" customWidth="1"/>
    <col min="11532" max="11532" width="54.86328125" style="37" customWidth="1"/>
    <col min="11533" max="11533" width="20.265625" style="37" customWidth="1"/>
    <col min="11534" max="11534" width="13.86328125" style="37" customWidth="1"/>
    <col min="11535" max="11535" width="15.86328125" style="37" customWidth="1"/>
    <col min="11536" max="11536" width="5.3984375" style="37" bestFit="1" customWidth="1"/>
    <col min="11537" max="11537" width="6.265625" style="37" customWidth="1"/>
    <col min="11538" max="11777" width="11.3984375" style="37" customWidth="1"/>
    <col min="11778" max="11778" width="4.59765625" style="37" customWidth="1"/>
    <col min="11779" max="11779" width="10" style="37" bestFit="1" customWidth="1"/>
    <col min="11780" max="11785" width="9.59765625" style="37" customWidth="1"/>
    <col min="11786" max="11787" width="11.3984375" style="37" customWidth="1"/>
    <col min="11788" max="11788" width="54.86328125" style="37" customWidth="1"/>
    <col min="11789" max="11789" width="20.265625" style="37" customWidth="1"/>
    <col min="11790" max="11790" width="13.86328125" style="37" customWidth="1"/>
    <col min="11791" max="11791" width="15.86328125" style="37" customWidth="1"/>
    <col min="11792" max="11792" width="5.3984375" style="37" bestFit="1" customWidth="1"/>
    <col min="11793" max="11793" width="6.265625" style="37" customWidth="1"/>
    <col min="11794" max="12033" width="11.3984375" style="37" customWidth="1"/>
    <col min="12034" max="12034" width="4.59765625" style="37" customWidth="1"/>
    <col min="12035" max="12035" width="10" style="37" bestFit="1" customWidth="1"/>
    <col min="12036" max="12041" width="9.59765625" style="37" customWidth="1"/>
    <col min="12042" max="12043" width="11.3984375" style="37" customWidth="1"/>
    <col min="12044" max="12044" width="54.86328125" style="37" customWidth="1"/>
    <col min="12045" max="12045" width="20.265625" style="37" customWidth="1"/>
    <col min="12046" max="12046" width="13.86328125" style="37" customWidth="1"/>
    <col min="12047" max="12047" width="15.86328125" style="37" customWidth="1"/>
    <col min="12048" max="12048" width="5.3984375" style="37" bestFit="1" customWidth="1"/>
    <col min="12049" max="12049" width="6.265625" style="37" customWidth="1"/>
    <col min="12050" max="12289" width="11.3984375" style="37" customWidth="1"/>
    <col min="12290" max="12290" width="4.59765625" style="37" customWidth="1"/>
    <col min="12291" max="12291" width="10" style="37" bestFit="1" customWidth="1"/>
    <col min="12292" max="12297" width="9.59765625" style="37" customWidth="1"/>
    <col min="12298" max="12299" width="11.3984375" style="37" customWidth="1"/>
    <col min="12300" max="12300" width="54.86328125" style="37" customWidth="1"/>
    <col min="12301" max="12301" width="20.265625" style="37" customWidth="1"/>
    <col min="12302" max="12302" width="13.86328125" style="37" customWidth="1"/>
    <col min="12303" max="12303" width="15.86328125" style="37" customWidth="1"/>
    <col min="12304" max="12304" width="5.3984375" style="37" bestFit="1" customWidth="1"/>
    <col min="12305" max="12305" width="6.265625" style="37" customWidth="1"/>
    <col min="12306" max="12545" width="11.3984375" style="37" customWidth="1"/>
    <col min="12546" max="12546" width="4.59765625" style="37" customWidth="1"/>
    <col min="12547" max="12547" width="10" style="37" bestFit="1" customWidth="1"/>
    <col min="12548" max="12553" width="9.59765625" style="37" customWidth="1"/>
    <col min="12554" max="12555" width="11.3984375" style="37" customWidth="1"/>
    <col min="12556" max="12556" width="54.86328125" style="37" customWidth="1"/>
    <col min="12557" max="12557" width="20.265625" style="37" customWidth="1"/>
    <col min="12558" max="12558" width="13.86328125" style="37" customWidth="1"/>
    <col min="12559" max="12559" width="15.86328125" style="37" customWidth="1"/>
    <col min="12560" max="12560" width="5.3984375" style="37" bestFit="1" customWidth="1"/>
    <col min="12561" max="12561" width="6.265625" style="37" customWidth="1"/>
    <col min="12562" max="12801" width="11.3984375" style="37" customWidth="1"/>
    <col min="12802" max="12802" width="4.59765625" style="37" customWidth="1"/>
    <col min="12803" max="12803" width="10" style="37" bestFit="1" customWidth="1"/>
    <col min="12804" max="12809" width="9.59765625" style="37" customWidth="1"/>
    <col min="12810" max="12811" width="11.3984375" style="37" customWidth="1"/>
    <col min="12812" max="12812" width="54.86328125" style="37" customWidth="1"/>
    <col min="12813" max="12813" width="20.265625" style="37" customWidth="1"/>
    <col min="12814" max="12814" width="13.86328125" style="37" customWidth="1"/>
    <col min="12815" max="12815" width="15.86328125" style="37" customWidth="1"/>
    <col min="12816" max="12816" width="5.3984375" style="37" bestFit="1" customWidth="1"/>
    <col min="12817" max="12817" width="6.265625" style="37" customWidth="1"/>
    <col min="12818" max="13057" width="11.3984375" style="37" customWidth="1"/>
    <col min="13058" max="13058" width="4.59765625" style="37" customWidth="1"/>
    <col min="13059" max="13059" width="10" style="37" bestFit="1" customWidth="1"/>
    <col min="13060" max="13065" width="9.59765625" style="37" customWidth="1"/>
    <col min="13066" max="13067" width="11.3984375" style="37" customWidth="1"/>
    <col min="13068" max="13068" width="54.86328125" style="37" customWidth="1"/>
    <col min="13069" max="13069" width="20.265625" style="37" customWidth="1"/>
    <col min="13070" max="13070" width="13.86328125" style="37" customWidth="1"/>
    <col min="13071" max="13071" width="15.86328125" style="37" customWidth="1"/>
    <col min="13072" max="13072" width="5.3984375" style="37" bestFit="1" customWidth="1"/>
    <col min="13073" max="13073" width="6.265625" style="37" customWidth="1"/>
    <col min="13074" max="13313" width="11.3984375" style="37" customWidth="1"/>
    <col min="13314" max="13314" width="4.59765625" style="37" customWidth="1"/>
    <col min="13315" max="13315" width="10" style="37" bestFit="1" customWidth="1"/>
    <col min="13316" max="13321" width="9.59765625" style="37" customWidth="1"/>
    <col min="13322" max="13323" width="11.3984375" style="37" customWidth="1"/>
    <col min="13324" max="13324" width="54.86328125" style="37" customWidth="1"/>
    <col min="13325" max="13325" width="20.265625" style="37" customWidth="1"/>
    <col min="13326" max="13326" width="13.86328125" style="37" customWidth="1"/>
    <col min="13327" max="13327" width="15.86328125" style="37" customWidth="1"/>
    <col min="13328" max="13328" width="5.3984375" style="37" bestFit="1" customWidth="1"/>
    <col min="13329" max="13329" width="6.265625" style="37" customWidth="1"/>
    <col min="13330" max="13569" width="11.3984375" style="37" customWidth="1"/>
    <col min="13570" max="13570" width="4.59765625" style="37" customWidth="1"/>
    <col min="13571" max="13571" width="10" style="37" bestFit="1" customWidth="1"/>
    <col min="13572" max="13577" width="9.59765625" style="37" customWidth="1"/>
    <col min="13578" max="13579" width="11.3984375" style="37" customWidth="1"/>
    <col min="13580" max="13580" width="54.86328125" style="37" customWidth="1"/>
    <col min="13581" max="13581" width="20.265625" style="37" customWidth="1"/>
    <col min="13582" max="13582" width="13.86328125" style="37" customWidth="1"/>
    <col min="13583" max="13583" width="15.86328125" style="37" customWidth="1"/>
    <col min="13584" max="13584" width="5.3984375" style="37" bestFit="1" customWidth="1"/>
    <col min="13585" max="13585" width="6.265625" style="37" customWidth="1"/>
    <col min="13586" max="13825" width="11.3984375" style="37" customWidth="1"/>
    <col min="13826" max="13826" width="4.59765625" style="37" customWidth="1"/>
    <col min="13827" max="13827" width="10" style="37" bestFit="1" customWidth="1"/>
    <col min="13828" max="13833" width="9.59765625" style="37" customWidth="1"/>
    <col min="13834" max="13835" width="11.3984375" style="37" customWidth="1"/>
    <col min="13836" max="13836" width="54.86328125" style="37" customWidth="1"/>
    <col min="13837" max="13837" width="20.265625" style="37" customWidth="1"/>
    <col min="13838" max="13838" width="13.86328125" style="37" customWidth="1"/>
    <col min="13839" max="13839" width="15.86328125" style="37" customWidth="1"/>
    <col min="13840" max="13840" width="5.3984375" style="37" bestFit="1" customWidth="1"/>
    <col min="13841" max="13841" width="6.265625" style="37" customWidth="1"/>
    <col min="13842" max="14081" width="11.3984375" style="37" customWidth="1"/>
    <col min="14082" max="14082" width="4.59765625" style="37" customWidth="1"/>
    <col min="14083" max="14083" width="10" style="37" bestFit="1" customWidth="1"/>
    <col min="14084" max="14089" width="9.59765625" style="37" customWidth="1"/>
    <col min="14090" max="14091" width="11.3984375" style="37" customWidth="1"/>
    <col min="14092" max="14092" width="54.86328125" style="37" customWidth="1"/>
    <col min="14093" max="14093" width="20.265625" style="37" customWidth="1"/>
    <col min="14094" max="14094" width="13.86328125" style="37" customWidth="1"/>
    <col min="14095" max="14095" width="15.86328125" style="37" customWidth="1"/>
    <col min="14096" max="14096" width="5.3984375" style="37" bestFit="1" customWidth="1"/>
    <col min="14097" max="14097" width="6.265625" style="37" customWidth="1"/>
    <col min="14098" max="14337" width="11.3984375" style="37" customWidth="1"/>
    <col min="14338" max="14338" width="4.59765625" style="37" customWidth="1"/>
    <col min="14339" max="14339" width="10" style="37" bestFit="1" customWidth="1"/>
    <col min="14340" max="14345" width="9.59765625" style="37" customWidth="1"/>
    <col min="14346" max="14347" width="11.3984375" style="37" customWidth="1"/>
    <col min="14348" max="14348" width="54.86328125" style="37" customWidth="1"/>
    <col min="14349" max="14349" width="20.265625" style="37" customWidth="1"/>
    <col min="14350" max="14350" width="13.86328125" style="37" customWidth="1"/>
    <col min="14351" max="14351" width="15.86328125" style="37" customWidth="1"/>
    <col min="14352" max="14352" width="5.3984375" style="37" bestFit="1" customWidth="1"/>
    <col min="14353" max="14353" width="6.265625" style="37" customWidth="1"/>
    <col min="14354" max="14593" width="11.3984375" style="37" customWidth="1"/>
    <col min="14594" max="14594" width="4.59765625" style="37" customWidth="1"/>
    <col min="14595" max="14595" width="10" style="37" bestFit="1" customWidth="1"/>
    <col min="14596" max="14601" width="9.59765625" style="37" customWidth="1"/>
    <col min="14602" max="14603" width="11.3984375" style="37" customWidth="1"/>
    <col min="14604" max="14604" width="54.86328125" style="37" customWidth="1"/>
    <col min="14605" max="14605" width="20.265625" style="37" customWidth="1"/>
    <col min="14606" max="14606" width="13.86328125" style="37" customWidth="1"/>
    <col min="14607" max="14607" width="15.86328125" style="37" customWidth="1"/>
    <col min="14608" max="14608" width="5.3984375" style="37" bestFit="1" customWidth="1"/>
    <col min="14609" max="14609" width="6.265625" style="37" customWidth="1"/>
    <col min="14610" max="14849" width="11.3984375" style="37" customWidth="1"/>
    <col min="14850" max="14850" width="4.59765625" style="37" customWidth="1"/>
    <col min="14851" max="14851" width="10" style="37" bestFit="1" customWidth="1"/>
    <col min="14852" max="14857" width="9.59765625" style="37" customWidth="1"/>
    <col min="14858" max="14859" width="11.3984375" style="37" customWidth="1"/>
    <col min="14860" max="14860" width="54.86328125" style="37" customWidth="1"/>
    <col min="14861" max="14861" width="20.265625" style="37" customWidth="1"/>
    <col min="14862" max="14862" width="13.86328125" style="37" customWidth="1"/>
    <col min="14863" max="14863" width="15.86328125" style="37" customWidth="1"/>
    <col min="14864" max="14864" width="5.3984375" style="37" bestFit="1" customWidth="1"/>
    <col min="14865" max="14865" width="6.265625" style="37" customWidth="1"/>
    <col min="14866" max="15105" width="11.3984375" style="37" customWidth="1"/>
    <col min="15106" max="15106" width="4.59765625" style="37" customWidth="1"/>
    <col min="15107" max="15107" width="10" style="37" bestFit="1" customWidth="1"/>
    <col min="15108" max="15113" width="9.59765625" style="37" customWidth="1"/>
    <col min="15114" max="15115" width="11.3984375" style="37" customWidth="1"/>
    <col min="15116" max="15116" width="54.86328125" style="37" customWidth="1"/>
    <col min="15117" max="15117" width="20.265625" style="37" customWidth="1"/>
    <col min="15118" max="15118" width="13.86328125" style="37" customWidth="1"/>
    <col min="15119" max="15119" width="15.86328125" style="37" customWidth="1"/>
    <col min="15120" max="15120" width="5.3984375" style="37" bestFit="1" customWidth="1"/>
    <col min="15121" max="15121" width="6.265625" style="37" customWidth="1"/>
    <col min="15122" max="15361" width="11.3984375" style="37" customWidth="1"/>
    <col min="15362" max="15362" width="4.59765625" style="37" customWidth="1"/>
    <col min="15363" max="15363" width="10" style="37" bestFit="1" customWidth="1"/>
    <col min="15364" max="15369" width="9.59765625" style="37" customWidth="1"/>
    <col min="15370" max="15371" width="11.3984375" style="37" customWidth="1"/>
    <col min="15372" max="15372" width="54.86328125" style="37" customWidth="1"/>
    <col min="15373" max="15373" width="20.265625" style="37" customWidth="1"/>
    <col min="15374" max="15374" width="13.86328125" style="37" customWidth="1"/>
    <col min="15375" max="15375" width="15.86328125" style="37" customWidth="1"/>
    <col min="15376" max="15376" width="5.3984375" style="37" bestFit="1" customWidth="1"/>
    <col min="15377" max="15377" width="6.265625" style="37" customWidth="1"/>
    <col min="15378" max="15617" width="11.3984375" style="37" customWidth="1"/>
    <col min="15618" max="15618" width="4.59765625" style="37" customWidth="1"/>
    <col min="15619" max="15619" width="10" style="37" bestFit="1" customWidth="1"/>
    <col min="15620" max="15625" width="9.59765625" style="37" customWidth="1"/>
    <col min="15626" max="15627" width="11.3984375" style="37" customWidth="1"/>
    <col min="15628" max="15628" width="54.86328125" style="37" customWidth="1"/>
    <col min="15629" max="15629" width="20.265625" style="37" customWidth="1"/>
    <col min="15630" max="15630" width="13.86328125" style="37" customWidth="1"/>
    <col min="15631" max="15631" width="15.86328125" style="37" customWidth="1"/>
    <col min="15632" max="15632" width="5.3984375" style="37" bestFit="1" customWidth="1"/>
    <col min="15633" max="15633" width="6.265625" style="37" customWidth="1"/>
    <col min="15634" max="15873" width="11.3984375" style="37" customWidth="1"/>
    <col min="15874" max="15874" width="4.59765625" style="37" customWidth="1"/>
    <col min="15875" max="15875" width="10" style="37" bestFit="1" customWidth="1"/>
    <col min="15876" max="15881" width="9.59765625" style="37" customWidth="1"/>
    <col min="15882" max="15883" width="11.3984375" style="37" customWidth="1"/>
    <col min="15884" max="15884" width="54.86328125" style="37" customWidth="1"/>
    <col min="15885" max="15885" width="20.265625" style="37" customWidth="1"/>
    <col min="15886" max="15886" width="13.86328125" style="37" customWidth="1"/>
    <col min="15887" max="15887" width="15.86328125" style="37" customWidth="1"/>
    <col min="15888" max="15888" width="5.3984375" style="37" bestFit="1" customWidth="1"/>
    <col min="15889" max="15889" width="6.265625" style="37" customWidth="1"/>
    <col min="15890" max="16129" width="11.3984375" style="37" customWidth="1"/>
    <col min="16130" max="16130" width="4.59765625" style="37" customWidth="1"/>
    <col min="16131" max="16131" width="10" style="37" bestFit="1" customWidth="1"/>
    <col min="16132" max="16137" width="9.59765625" style="37" customWidth="1"/>
    <col min="16138" max="16139" width="11.3984375" style="37" customWidth="1"/>
    <col min="16140" max="16140" width="54.86328125" style="37" customWidth="1"/>
    <col min="16141" max="16141" width="20.265625" style="37" customWidth="1"/>
    <col min="16142" max="16142" width="13.86328125" style="37" customWidth="1"/>
    <col min="16143" max="16143" width="15.86328125" style="37" customWidth="1"/>
    <col min="16144" max="16144" width="5.3984375" style="37" bestFit="1" customWidth="1"/>
    <col min="16145" max="16145" width="6.265625" style="37" customWidth="1"/>
    <col min="16146" max="16383" width="11.3984375" style="37" customWidth="1"/>
    <col min="16384" max="16384" width="11.3984375" style="37"/>
  </cols>
  <sheetData>
    <row r="1" spans="1:29" ht="14.65" thickBot="1" x14ac:dyDescent="0.5"/>
    <row r="2" spans="1:29" ht="15" customHeight="1" x14ac:dyDescent="0.45">
      <c r="B2" s="215" t="s">
        <v>35</v>
      </c>
      <c r="C2" s="216"/>
      <c r="D2" s="216"/>
      <c r="E2" s="216"/>
      <c r="F2" s="216"/>
      <c r="G2" s="216"/>
      <c r="H2" s="216"/>
      <c r="I2" s="216"/>
      <c r="J2" s="216"/>
      <c r="K2" s="216"/>
      <c r="L2" s="216"/>
      <c r="M2" s="216"/>
      <c r="N2" s="217"/>
    </row>
    <row r="3" spans="1:29" ht="14.65" thickBot="1" x14ac:dyDescent="0.5">
      <c r="B3" s="218"/>
      <c r="C3" s="219"/>
      <c r="D3" s="219"/>
      <c r="E3" s="219"/>
      <c r="F3" s="219"/>
      <c r="G3" s="219"/>
      <c r="H3" s="219"/>
      <c r="I3" s="219"/>
      <c r="J3" s="219"/>
      <c r="K3" s="219"/>
      <c r="L3" s="219"/>
      <c r="M3" s="219"/>
      <c r="N3" s="220"/>
    </row>
    <row r="4" spans="1:29" ht="15" x14ac:dyDescent="0.45">
      <c r="B4" s="221" t="s">
        <v>102</v>
      </c>
      <c r="C4" s="222"/>
      <c r="D4" s="222"/>
      <c r="E4" s="222"/>
      <c r="F4" s="222"/>
      <c r="G4" s="222"/>
      <c r="H4" s="222"/>
      <c r="I4" s="222"/>
      <c r="J4" s="223"/>
      <c r="K4" s="76"/>
      <c r="L4" s="222" t="str">
        <f>N15</f>
        <v>INICIAL</v>
      </c>
      <c r="M4" s="222"/>
      <c r="N4" s="223"/>
      <c r="R4"/>
      <c r="S4"/>
    </row>
    <row r="5" spans="1:29" ht="15.4" thickBot="1" x14ac:dyDescent="0.5">
      <c r="B5" s="224"/>
      <c r="C5" s="225"/>
      <c r="D5" s="225"/>
      <c r="E5" s="225"/>
      <c r="F5" s="225"/>
      <c r="G5" s="225"/>
      <c r="H5" s="225"/>
      <c r="I5" s="225"/>
      <c r="J5" s="226"/>
      <c r="K5" s="77"/>
      <c r="L5" s="225"/>
      <c r="M5" s="225"/>
      <c r="N5" s="226"/>
      <c r="R5"/>
      <c r="S5"/>
    </row>
    <row r="6" spans="1:29" ht="15.75" customHeight="1" thickBot="1" x14ac:dyDescent="0.5">
      <c r="R6"/>
      <c r="S6"/>
    </row>
    <row r="7" spans="1:29" ht="15.75" customHeight="1" thickBot="1" x14ac:dyDescent="0.5">
      <c r="A7" s="8"/>
      <c r="B7" s="208" t="s">
        <v>36</v>
      </c>
      <c r="C7" s="209"/>
      <c r="D7" s="209"/>
      <c r="E7" s="209"/>
      <c r="F7" s="209"/>
      <c r="G7" s="209"/>
      <c r="H7" s="209"/>
      <c r="I7" s="210"/>
      <c r="L7" s="227" t="s">
        <v>37</v>
      </c>
      <c r="M7" s="228"/>
      <c r="N7" s="229"/>
      <c r="O7" s="9"/>
      <c r="R7"/>
      <c r="S7"/>
      <c r="AC7" s="24"/>
    </row>
    <row r="8" spans="1:29" ht="28.5" customHeight="1" thickBot="1" x14ac:dyDescent="0.5">
      <c r="A8" s="78"/>
      <c r="B8" s="83" t="s">
        <v>38</v>
      </c>
      <c r="C8" s="84">
        <v>0</v>
      </c>
      <c r="D8" s="84">
        <v>0.25</v>
      </c>
      <c r="E8" s="84">
        <v>0.5</v>
      </c>
      <c r="F8" s="84">
        <v>0.75</v>
      </c>
      <c r="G8" s="84">
        <v>1</v>
      </c>
      <c r="H8" s="156" t="s">
        <v>8</v>
      </c>
      <c r="I8" s="85" t="s">
        <v>39</v>
      </c>
      <c r="J8" s="36"/>
      <c r="K8" s="36"/>
      <c r="L8" s="65" t="s">
        <v>100</v>
      </c>
      <c r="M8" s="66" t="s">
        <v>101</v>
      </c>
      <c r="N8" s="70" t="s">
        <v>90</v>
      </c>
      <c r="R8"/>
      <c r="S8"/>
      <c r="AC8" s="24"/>
    </row>
    <row r="9" spans="1:29" x14ac:dyDescent="0.45">
      <c r="A9" s="8"/>
      <c r="B9" s="26" t="s">
        <v>40</v>
      </c>
      <c r="C9" s="152">
        <f>COUNTA(REQUISITOS!B15:B17)</f>
        <v>0</v>
      </c>
      <c r="D9" s="152">
        <f>COUNTA(REQUISITOS!C15:C17)</f>
        <v>0</v>
      </c>
      <c r="E9" s="152">
        <f>COUNTA(REQUISITOS!D15:D17)</f>
        <v>0</v>
      </c>
      <c r="F9" s="152">
        <f>COUNTA(REQUISITOS!E15:E17)</f>
        <v>0</v>
      </c>
      <c r="G9" s="152">
        <f>COUNTA(REQUISITOS!F15:F17)</f>
        <v>0</v>
      </c>
      <c r="H9" s="152">
        <f>COUNTA(REQUISITOS!G15:G17)</f>
        <v>0</v>
      </c>
      <c r="I9" s="157">
        <f>SUM(C9:H9)</f>
        <v>0</v>
      </c>
      <c r="J9" s="9"/>
      <c r="K9" s="9"/>
      <c r="L9" s="64" t="str">
        <f>B7</f>
        <v>4. CONTEXTO DE LA ORGANIZACIÓN</v>
      </c>
      <c r="M9" s="67">
        <f>B15</f>
        <v>0</v>
      </c>
      <c r="N9" s="71" t="str">
        <f>IF(M9&lt;=24%,"INICIAL",IF(M9&lt;=49%,"NOVATO",IF(M9&lt;=74%,"COMPETENTE",IF(M9&lt;=99%,"AVANZADO","EXPERTO"))))</f>
        <v>INICIAL</v>
      </c>
    </row>
    <row r="10" spans="1:29" x14ac:dyDescent="0.45">
      <c r="A10" s="8"/>
      <c r="B10" s="25" t="s">
        <v>41</v>
      </c>
      <c r="C10" s="153">
        <f>COUNTA(REQUISITOS!B20:B22)</f>
        <v>0</v>
      </c>
      <c r="D10" s="153">
        <f>COUNTA(REQUISITOS!C20:C22)</f>
        <v>0</v>
      </c>
      <c r="E10" s="153">
        <f>COUNTA(REQUISITOS!D20:D22)</f>
        <v>0</v>
      </c>
      <c r="F10" s="153">
        <f>COUNTA(REQUISITOS!E20:E22)</f>
        <v>0</v>
      </c>
      <c r="G10" s="153">
        <f>COUNTA(REQUISITOS!F20:F22)</f>
        <v>0</v>
      </c>
      <c r="H10" s="153">
        <f>COUNTA(REQUISITOS!G20:G22)</f>
        <v>0</v>
      </c>
      <c r="I10" s="158">
        <f>SUM(C10:H10)</f>
        <v>0</v>
      </c>
      <c r="J10" s="9"/>
      <c r="K10" s="9"/>
      <c r="L10" s="13" t="str">
        <f>B17</f>
        <v>5. LIDERAZGO</v>
      </c>
      <c r="M10" s="68">
        <f>B24</f>
        <v>0</v>
      </c>
      <c r="N10" s="72" t="str">
        <f t="shared" ref="N10:N12" si="0">IF(M10&lt;=24%,"INICIAL",IF(M10&lt;=49%,"NOVATO",IF(M10&lt;=74%,"COMPETENTE",IF(M10&lt;=99%,"AVANZADO","EXPERTO"))))</f>
        <v>INICIAL</v>
      </c>
      <c r="AC10" s="38"/>
    </row>
    <row r="11" spans="1:29" x14ac:dyDescent="0.45">
      <c r="A11" s="8"/>
      <c r="B11" s="25" t="s">
        <v>42</v>
      </c>
      <c r="C11" s="153">
        <f>COUNTA(REQUISITOS!B25:B26)</f>
        <v>0</v>
      </c>
      <c r="D11" s="153">
        <f>COUNTA(REQUISITOS!C25:C26)</f>
        <v>0</v>
      </c>
      <c r="E11" s="153">
        <f>COUNTA(REQUISITOS!D25:D26)</f>
        <v>0</v>
      </c>
      <c r="F11" s="153">
        <f>COUNTA(REQUISITOS!E25:E26)</f>
        <v>0</v>
      </c>
      <c r="G11" s="153">
        <f>COUNTA(REQUISITOS!F25:F26)</f>
        <v>0</v>
      </c>
      <c r="H11" s="153">
        <f>COUNTA(REQUISITOS!G25:G26)</f>
        <v>0</v>
      </c>
      <c r="I11" s="158">
        <f>SUM(C11:H11)</f>
        <v>0</v>
      </c>
      <c r="J11" s="9"/>
      <c r="K11" s="9"/>
      <c r="L11" s="13" t="str">
        <f>B26</f>
        <v>6. PLANIFICACIÓN</v>
      </c>
      <c r="M11" s="68">
        <f>B32</f>
        <v>0</v>
      </c>
      <c r="N11" s="72" t="str">
        <f t="shared" si="0"/>
        <v>INICIAL</v>
      </c>
      <c r="AC11" s="38"/>
    </row>
    <row r="12" spans="1:29" ht="15.75" customHeight="1" thickBot="1" x14ac:dyDescent="0.5">
      <c r="A12" s="8"/>
      <c r="B12" s="27" t="s">
        <v>43</v>
      </c>
      <c r="C12" s="154">
        <f>COUNTA(REQUISITOS!B29:B30)</f>
        <v>0</v>
      </c>
      <c r="D12" s="154">
        <f>COUNTA(REQUISITOS!C29:C30)</f>
        <v>0</v>
      </c>
      <c r="E12" s="154">
        <f>COUNTA(REQUISITOS!D29:D30)</f>
        <v>0</v>
      </c>
      <c r="F12" s="154">
        <f>COUNTA(REQUISITOS!E29:E30)</f>
        <v>0</v>
      </c>
      <c r="G12" s="154">
        <f>COUNTA(REQUISITOS!F29:F30)</f>
        <v>0</v>
      </c>
      <c r="H12" s="154">
        <f>COUNTA(REQUISITOS!G29:G30)</f>
        <v>0</v>
      </c>
      <c r="I12" s="159">
        <f>SUM(C12:H12)</f>
        <v>0</v>
      </c>
      <c r="J12" s="9"/>
      <c r="K12" s="9"/>
      <c r="L12" s="13" t="str">
        <f>B34</f>
        <v>7. SOPORTE</v>
      </c>
      <c r="M12" s="68">
        <f>B43</f>
        <v>0</v>
      </c>
      <c r="N12" s="72" t="str">
        <f t="shared" si="0"/>
        <v>INICIAL</v>
      </c>
    </row>
    <row r="13" spans="1:29" ht="15.75" customHeight="1" thickBot="1" x14ac:dyDescent="0.5">
      <c r="A13" s="14"/>
      <c r="B13" s="89" t="s">
        <v>39</v>
      </c>
      <c r="C13" s="90">
        <f t="shared" ref="C13:H13" si="1">SUM(C9:C12)</f>
        <v>0</v>
      </c>
      <c r="D13" s="90">
        <f t="shared" si="1"/>
        <v>0</v>
      </c>
      <c r="E13" s="90">
        <f t="shared" si="1"/>
        <v>0</v>
      </c>
      <c r="F13" s="90">
        <f t="shared" si="1"/>
        <v>0</v>
      </c>
      <c r="G13" s="90">
        <f t="shared" si="1"/>
        <v>0</v>
      </c>
      <c r="H13" s="90">
        <f t="shared" si="1"/>
        <v>0</v>
      </c>
      <c r="I13" s="155">
        <f>SUM(I9:I12)-H13</f>
        <v>0</v>
      </c>
      <c r="J13" s="9"/>
      <c r="K13" s="9"/>
      <c r="L13" s="13" t="str">
        <f>B54</f>
        <v>9. EVALUACIÓN DEL DESEMPEÑO</v>
      </c>
      <c r="M13" s="68">
        <f>B61</f>
        <v>0</v>
      </c>
      <c r="N13" s="72" t="str">
        <f>IF(M13&lt;=24%,"INICIAL",IF(M13&lt;=49%,"NOVATO",IF(M13&lt;=74%,"COMPETENTE",IF(M13&lt;=99%,"AVANZADO","EXPERTO"))))</f>
        <v>INICIAL</v>
      </c>
    </row>
    <row r="14" spans="1:29" ht="15.75" customHeight="1" thickBot="1" x14ac:dyDescent="0.5">
      <c r="A14" s="8"/>
      <c r="B14" s="211" t="s">
        <v>44</v>
      </c>
      <c r="C14" s="212"/>
      <c r="D14" s="212"/>
      <c r="E14" s="212"/>
      <c r="F14" s="212"/>
      <c r="G14" s="212"/>
      <c r="H14" s="212"/>
      <c r="I14" s="213"/>
      <c r="L14" s="16" t="str">
        <f>B63</f>
        <v>10. MEJORA</v>
      </c>
      <c r="M14" s="69">
        <f>B69</f>
        <v>0</v>
      </c>
      <c r="N14" s="73" t="str">
        <f>IF(M14&lt;=24%,"INICIAL",IF(M14&lt;=49%,"NOVATO",IF(M14&lt;=74%,"COMPETENTE",IF(M14&lt;=99%,"AVANZADO","EXPERTO"))))</f>
        <v>INICIAL</v>
      </c>
    </row>
    <row r="15" spans="1:29" ht="15.75" customHeight="1" thickBot="1" x14ac:dyDescent="0.55000000000000004">
      <c r="A15" s="8"/>
      <c r="B15" s="206">
        <f>IF(I13=0,0,((C13*C8)+(D13*D8)+(E13*E8)+(F13*F8)+(G13*G8))/I13)</f>
        <v>0</v>
      </c>
      <c r="C15" s="207"/>
      <c r="D15" s="207"/>
      <c r="E15" s="207"/>
      <c r="F15" s="207"/>
      <c r="G15" s="207"/>
      <c r="H15" s="207"/>
      <c r="I15" s="187"/>
      <c r="L15" s="75" t="s">
        <v>188</v>
      </c>
      <c r="M15" s="74">
        <f>B76</f>
        <v>0</v>
      </c>
      <c r="N15" s="73" t="str">
        <f>IF(M15&lt;=24%,"INICIAL",IF(M15&lt;=49%,"NOVATO",IF(M15&lt;=74%,"COMPETENTE",IF(M15&lt;=99%,"AVANZADO","EXPERTO"))))</f>
        <v>INICIAL</v>
      </c>
    </row>
    <row r="16" spans="1:29" ht="15.75" customHeight="1" thickBot="1" x14ac:dyDescent="0.55000000000000004">
      <c r="A16" s="8"/>
      <c r="B16" s="17"/>
      <c r="C16" s="18"/>
      <c r="D16" s="9"/>
      <c r="E16" s="9"/>
      <c r="F16" s="9"/>
      <c r="G16" s="9"/>
      <c r="H16" s="9"/>
      <c r="L16" s="75" t="s">
        <v>57</v>
      </c>
      <c r="M16" s="95">
        <f>100%-M15</f>
        <v>1</v>
      </c>
    </row>
    <row r="17" spans="1:13" ht="15.75" customHeight="1" thickBot="1" x14ac:dyDescent="0.5">
      <c r="A17" s="8"/>
      <c r="B17" s="208" t="s">
        <v>45</v>
      </c>
      <c r="C17" s="209"/>
      <c r="D17" s="209"/>
      <c r="E17" s="209"/>
      <c r="F17" s="209"/>
      <c r="G17" s="209"/>
      <c r="H17" s="209"/>
      <c r="I17" s="210"/>
    </row>
    <row r="18" spans="1:13" ht="15.75" customHeight="1" thickBot="1" x14ac:dyDescent="0.5">
      <c r="A18" s="78"/>
      <c r="B18" s="86" t="s">
        <v>38</v>
      </c>
      <c r="C18" s="86">
        <v>0</v>
      </c>
      <c r="D18" s="86">
        <v>0.25</v>
      </c>
      <c r="E18" s="86">
        <v>0.5</v>
      </c>
      <c r="F18" s="86">
        <v>0.75</v>
      </c>
      <c r="G18" s="86">
        <v>1</v>
      </c>
      <c r="H18" s="87" t="s">
        <v>8</v>
      </c>
      <c r="I18" s="137" t="s">
        <v>39</v>
      </c>
    </row>
    <row r="19" spans="1:13" x14ac:dyDescent="0.45">
      <c r="A19" s="19"/>
      <c r="B19" s="28" t="s">
        <v>46</v>
      </c>
      <c r="C19" s="79">
        <f>COUNTIF(REQUISITOS!B34:B36,"X")</f>
        <v>0</v>
      </c>
      <c r="D19" s="79">
        <f>COUNTIF(REQUISITOS!C34:C36,"X")</f>
        <v>0</v>
      </c>
      <c r="E19" s="79">
        <f>COUNTIF(REQUISITOS!D34:D36,"X")</f>
        <v>0</v>
      </c>
      <c r="F19" s="79">
        <f>COUNTIF(REQUISITOS!E34:E36,"X")</f>
        <v>0</v>
      </c>
      <c r="G19" s="79">
        <f>COUNTIF(REQUISITOS!F34:F36,"X")</f>
        <v>0</v>
      </c>
      <c r="H19" s="79">
        <f>COUNTIF(REQUISITOS!G34:G36,"X")</f>
        <v>0</v>
      </c>
      <c r="I19" s="157">
        <f>SUM(C19:H19)</f>
        <v>0</v>
      </c>
      <c r="J19" s="20"/>
      <c r="K19" s="20"/>
      <c r="L19"/>
      <c r="M19"/>
    </row>
    <row r="20" spans="1:13" x14ac:dyDescent="0.45">
      <c r="A20" s="8"/>
      <c r="B20" s="25" t="s">
        <v>47</v>
      </c>
      <c r="C20" s="80">
        <f>COUNTIF(REQUISITOS!B39:B42,"X")</f>
        <v>0</v>
      </c>
      <c r="D20" s="80">
        <f>COUNTIF(REQUISITOS!C39:C42,"X")</f>
        <v>0</v>
      </c>
      <c r="E20" s="80">
        <f>COUNTIF(REQUISITOS!D39:D42,"X")</f>
        <v>0</v>
      </c>
      <c r="F20" s="80">
        <f>COUNTIF(REQUISITOS!E39:E42,"X")</f>
        <v>0</v>
      </c>
      <c r="G20" s="80">
        <f>COUNTIF(REQUISITOS!F39:F42,"X")</f>
        <v>0</v>
      </c>
      <c r="H20" s="80">
        <f>COUNTIF(REQUISITOS!G39:G42,"X")</f>
        <v>0</v>
      </c>
      <c r="I20" s="158">
        <f>SUM(C20:H20)</f>
        <v>0</v>
      </c>
      <c r="L20"/>
      <c r="M20"/>
    </row>
    <row r="21" spans="1:13" ht="15.75" customHeight="1" thickBot="1" x14ac:dyDescent="0.5">
      <c r="A21" s="8"/>
      <c r="B21" s="25" t="s">
        <v>48</v>
      </c>
      <c r="C21" s="81">
        <f>COUNTIF(REQUISITOS!B45:B46,"X")</f>
        <v>0</v>
      </c>
      <c r="D21" s="81">
        <f>COUNTIF(REQUISITOS!C45:C46,"X")</f>
        <v>0</v>
      </c>
      <c r="E21" s="81">
        <f>COUNTIF(REQUISITOS!D45:D46,"X")</f>
        <v>0</v>
      </c>
      <c r="F21" s="81">
        <f>COUNTIF(REQUISITOS!E45:E46,"X")</f>
        <v>0</v>
      </c>
      <c r="G21" s="81">
        <f>COUNTIF(REQUISITOS!F45:F46,"X")</f>
        <v>0</v>
      </c>
      <c r="H21" s="81">
        <f>COUNTIF(REQUISITOS!G45:G46,"X")</f>
        <v>0</v>
      </c>
      <c r="I21" s="159">
        <f>SUM(C21:H21)</f>
        <v>0</v>
      </c>
      <c r="L21"/>
      <c r="M21"/>
    </row>
    <row r="22" spans="1:13" ht="15.75" customHeight="1" thickBot="1" x14ac:dyDescent="0.5">
      <c r="A22" s="8"/>
      <c r="B22" s="89" t="s">
        <v>39</v>
      </c>
      <c r="C22" s="160">
        <f t="shared" ref="C22:H22" si="2">SUM(C19:C21)</f>
        <v>0</v>
      </c>
      <c r="D22" s="161">
        <f t="shared" si="2"/>
        <v>0</v>
      </c>
      <c r="E22" s="161">
        <f t="shared" si="2"/>
        <v>0</v>
      </c>
      <c r="F22" s="161">
        <f t="shared" si="2"/>
        <v>0</v>
      </c>
      <c r="G22" s="161">
        <f t="shared" si="2"/>
        <v>0</v>
      </c>
      <c r="H22" s="93">
        <f t="shared" si="2"/>
        <v>0</v>
      </c>
      <c r="I22" s="93">
        <f>SUM(I19:I21)-H22</f>
        <v>0</v>
      </c>
      <c r="L22"/>
      <c r="M22"/>
    </row>
    <row r="23" spans="1:13" ht="15.75" customHeight="1" thickBot="1" x14ac:dyDescent="0.5">
      <c r="A23" s="8"/>
      <c r="B23" s="211" t="s">
        <v>44</v>
      </c>
      <c r="C23" s="212"/>
      <c r="D23" s="212"/>
      <c r="E23" s="212"/>
      <c r="F23" s="212"/>
      <c r="G23" s="212"/>
      <c r="H23" s="212"/>
      <c r="I23" s="213"/>
    </row>
    <row r="24" spans="1:13" ht="15.75" customHeight="1" thickBot="1" x14ac:dyDescent="0.5">
      <c r="A24" s="19"/>
      <c r="B24" s="206">
        <f>IF(I22=0,0,(C22*C18+D22*D18+E22*E18+F22*F18+G22*G18)/I22)</f>
        <v>0</v>
      </c>
      <c r="C24" s="207"/>
      <c r="D24" s="207"/>
      <c r="E24" s="207"/>
      <c r="F24" s="207"/>
      <c r="G24" s="207"/>
      <c r="H24" s="207"/>
      <c r="I24" s="187"/>
    </row>
    <row r="25" spans="1:13" ht="15.75" customHeight="1" thickBot="1" x14ac:dyDescent="0.5">
      <c r="A25" s="8"/>
      <c r="B25" s="21"/>
      <c r="C25" s="18"/>
      <c r="D25" s="9"/>
      <c r="E25" s="9"/>
      <c r="F25" s="9"/>
      <c r="G25" s="9"/>
      <c r="H25" s="9"/>
      <c r="M25" s="24"/>
    </row>
    <row r="26" spans="1:13" ht="15.75" customHeight="1" thickBot="1" x14ac:dyDescent="0.5">
      <c r="A26" s="8"/>
      <c r="B26" s="208" t="s">
        <v>49</v>
      </c>
      <c r="C26" s="209"/>
      <c r="D26" s="209"/>
      <c r="E26" s="209"/>
      <c r="F26" s="209"/>
      <c r="G26" s="209"/>
      <c r="H26" s="209"/>
      <c r="I26" s="210"/>
    </row>
    <row r="27" spans="1:13" ht="15.75" customHeight="1" thickBot="1" x14ac:dyDescent="0.5">
      <c r="A27" s="8"/>
      <c r="B27" s="86" t="s">
        <v>38</v>
      </c>
      <c r="C27" s="86">
        <v>0</v>
      </c>
      <c r="D27" s="86">
        <v>0.25</v>
      </c>
      <c r="E27" s="86">
        <v>0.5</v>
      </c>
      <c r="F27" s="86">
        <v>0.75</v>
      </c>
      <c r="G27" s="86">
        <v>1</v>
      </c>
      <c r="H27" s="87" t="s">
        <v>8</v>
      </c>
      <c r="I27" s="88" t="s">
        <v>39</v>
      </c>
    </row>
    <row r="28" spans="1:13" x14ac:dyDescent="0.45">
      <c r="A28" s="8"/>
      <c r="B28" s="26" t="s">
        <v>50</v>
      </c>
      <c r="C28" s="82">
        <f>COUNTIF(REQUISITOS!B50:B54,"X")</f>
        <v>0</v>
      </c>
      <c r="D28" s="82">
        <f>COUNTIF(REQUISITOS!C50:C54,"X")</f>
        <v>0</v>
      </c>
      <c r="E28" s="82">
        <f>COUNTIF(REQUISITOS!D50:D54,"X")</f>
        <v>0</v>
      </c>
      <c r="F28" s="82">
        <f>COUNTIF(REQUISITOS!E50:E54,"X")</f>
        <v>0</v>
      </c>
      <c r="G28" s="82">
        <f>COUNTIF(REQUISITOS!F50:F54,"X")</f>
        <v>0</v>
      </c>
      <c r="H28" s="82">
        <f>COUNTIF(REQUISITOS!G50:G54,"X")</f>
        <v>0</v>
      </c>
      <c r="I28" s="162">
        <f>SUM(C28:H28)</f>
        <v>0</v>
      </c>
    </row>
    <row r="29" spans="1:13" x14ac:dyDescent="0.45">
      <c r="A29" s="8"/>
      <c r="B29" s="25" t="s">
        <v>51</v>
      </c>
      <c r="C29" s="80">
        <f>COUNTIF(REQUISITOS!B57:B60,"X")</f>
        <v>0</v>
      </c>
      <c r="D29" s="80">
        <f>COUNTIF(REQUISITOS!C57:C60,"X")</f>
        <v>0</v>
      </c>
      <c r="E29" s="80">
        <f>COUNTIF(REQUISITOS!D57:D60,"X")</f>
        <v>0</v>
      </c>
      <c r="F29" s="80">
        <f>COUNTIF(REQUISITOS!E57:E60,"X")</f>
        <v>0</v>
      </c>
      <c r="G29" s="80">
        <f>COUNTIF(REQUISITOS!F57:F60,"X")</f>
        <v>0</v>
      </c>
      <c r="H29" s="80">
        <f>COUNTIF(REQUISITOS!G57:G60,"X")</f>
        <v>0</v>
      </c>
      <c r="I29" s="158">
        <f>SUM(C29:H29)</f>
        <v>0</v>
      </c>
    </row>
    <row r="30" spans="1:13" ht="15.75" customHeight="1" thickBot="1" x14ac:dyDescent="0.5">
      <c r="A30" s="8"/>
      <c r="B30" s="92" t="s">
        <v>39</v>
      </c>
      <c r="C30" s="90">
        <f t="shared" ref="C30:H30" si="3">SUM(C28:C29)</f>
        <v>0</v>
      </c>
      <c r="D30" s="90">
        <f t="shared" si="3"/>
        <v>0</v>
      </c>
      <c r="E30" s="90">
        <f t="shared" si="3"/>
        <v>0</v>
      </c>
      <c r="F30" s="90">
        <f t="shared" si="3"/>
        <v>0</v>
      </c>
      <c r="G30" s="90">
        <f t="shared" si="3"/>
        <v>0</v>
      </c>
      <c r="H30" s="90">
        <f t="shared" si="3"/>
        <v>0</v>
      </c>
      <c r="I30" s="91">
        <f>SUM(I28:I29)-H30</f>
        <v>0</v>
      </c>
    </row>
    <row r="31" spans="1:13" ht="15.75" customHeight="1" thickBot="1" x14ac:dyDescent="0.5">
      <c r="A31" s="8"/>
      <c r="B31" s="211" t="s">
        <v>44</v>
      </c>
      <c r="C31" s="212"/>
      <c r="D31" s="212"/>
      <c r="E31" s="212"/>
      <c r="F31" s="212"/>
      <c r="G31" s="212"/>
      <c r="H31" s="212"/>
      <c r="I31" s="213"/>
    </row>
    <row r="32" spans="1:13" ht="15.75" customHeight="1" thickBot="1" x14ac:dyDescent="0.5">
      <c r="A32" s="8"/>
      <c r="B32" s="206">
        <f>IF(I30=0,0,(C30*C27+D30*D27+E30*E27+F30*F27+G30*G27)/I30)</f>
        <v>0</v>
      </c>
      <c r="C32" s="207"/>
      <c r="D32" s="207"/>
      <c r="E32" s="207"/>
      <c r="F32" s="207"/>
      <c r="G32" s="207"/>
      <c r="H32" s="207"/>
      <c r="I32" s="187"/>
    </row>
    <row r="33" spans="1:14" ht="16.5" customHeight="1" thickBot="1" x14ac:dyDescent="0.5">
      <c r="A33" s="8"/>
      <c r="B33" s="22"/>
      <c r="C33" s="22"/>
    </row>
    <row r="34" spans="1:14" ht="15.75" customHeight="1" thickBot="1" x14ac:dyDescent="0.5">
      <c r="A34" s="8"/>
      <c r="B34" s="208" t="s">
        <v>52</v>
      </c>
      <c r="C34" s="209"/>
      <c r="D34" s="209"/>
      <c r="E34" s="209"/>
      <c r="F34" s="209"/>
      <c r="G34" s="209"/>
      <c r="H34" s="209"/>
      <c r="I34" s="210"/>
    </row>
    <row r="35" spans="1:14" ht="15.75" customHeight="1" thickBot="1" x14ac:dyDescent="0.5">
      <c r="A35" s="8"/>
      <c r="B35" s="86" t="s">
        <v>38</v>
      </c>
      <c r="C35" s="86">
        <v>0</v>
      </c>
      <c r="D35" s="86">
        <v>0.25</v>
      </c>
      <c r="E35" s="86">
        <v>0.5</v>
      </c>
      <c r="F35" s="86">
        <v>0.75</v>
      </c>
      <c r="G35" s="86">
        <v>1</v>
      </c>
      <c r="H35" s="87" t="s">
        <v>8</v>
      </c>
      <c r="I35" s="88" t="s">
        <v>39</v>
      </c>
    </row>
    <row r="36" spans="1:14" ht="15.75" customHeight="1" x14ac:dyDescent="0.45">
      <c r="A36" s="8"/>
      <c r="B36" s="26" t="s">
        <v>53</v>
      </c>
      <c r="C36" s="79">
        <f>COUNTIF(REQUISITOS!B64,"X")</f>
        <v>0</v>
      </c>
      <c r="D36" s="79">
        <f>COUNTIF(REQUISITOS!C64,"X")</f>
        <v>0</v>
      </c>
      <c r="E36" s="79">
        <f>COUNTIF(REQUISITOS!D64,"X")</f>
        <v>0</v>
      </c>
      <c r="F36" s="79">
        <f>COUNTIF(REQUISITOS!E64,"X")</f>
        <v>0</v>
      </c>
      <c r="G36" s="79">
        <f>COUNTIF(REQUISITOS!F64,"X")</f>
        <v>0</v>
      </c>
      <c r="H36" s="79">
        <f>COUNTIF(REQUISITOS!G64,"X")</f>
        <v>0</v>
      </c>
      <c r="I36" s="157">
        <f t="shared" ref="I36:I39" si="4">SUM(C36:H36)</f>
        <v>0</v>
      </c>
    </row>
    <row r="37" spans="1:14" x14ac:dyDescent="0.45">
      <c r="A37" s="8"/>
      <c r="B37" s="25" t="s">
        <v>54</v>
      </c>
      <c r="C37" s="80">
        <f>COUNTIF(REQUISITOS!B67:B69,"X")</f>
        <v>0</v>
      </c>
      <c r="D37" s="80">
        <f>COUNTIF(REQUISITOS!C67:C69,"X")</f>
        <v>0</v>
      </c>
      <c r="E37" s="80">
        <f>COUNTIF(REQUISITOS!D67:D69,"X")</f>
        <v>0</v>
      </c>
      <c r="F37" s="80">
        <f>COUNTIF(REQUISITOS!E67:E69,"X")</f>
        <v>0</v>
      </c>
      <c r="G37" s="80">
        <f>COUNTIF(REQUISITOS!F67:F69,"X")</f>
        <v>0</v>
      </c>
      <c r="H37" s="80">
        <f>COUNTIF(REQUISITOS!G67:G69,"X")</f>
        <v>0</v>
      </c>
      <c r="I37" s="158">
        <f t="shared" si="4"/>
        <v>0</v>
      </c>
      <c r="N37" s="34"/>
    </row>
    <row r="38" spans="1:14" x14ac:dyDescent="0.45">
      <c r="A38" s="8"/>
      <c r="B38" s="25" t="s">
        <v>55</v>
      </c>
      <c r="C38" s="80">
        <f>COUNTIF(REQUISITOS!B72:B73,"X")</f>
        <v>0</v>
      </c>
      <c r="D38" s="80">
        <f>COUNTIF(REQUISITOS!C72:C73,"X")</f>
        <v>0</v>
      </c>
      <c r="E38" s="80">
        <f>COUNTIF(REQUISITOS!D72:D73,"X")</f>
        <v>0</v>
      </c>
      <c r="F38" s="80">
        <f>COUNTIF(REQUISITOS!E72:E73,"X")</f>
        <v>0</v>
      </c>
      <c r="G38" s="80">
        <f>COUNTIF(REQUISITOS!F72:F73,"X")</f>
        <v>0</v>
      </c>
      <c r="H38" s="80">
        <f>COUNTIF(REQUISITOS!G72:G73,"X")</f>
        <v>0</v>
      </c>
      <c r="I38" s="158">
        <f t="shared" si="4"/>
        <v>0</v>
      </c>
    </row>
    <row r="39" spans="1:14" ht="15.75" customHeight="1" x14ac:dyDescent="0.45">
      <c r="A39" s="8"/>
      <c r="B39" s="25" t="s">
        <v>56</v>
      </c>
      <c r="C39" s="80">
        <f>COUNTIF(REQUISITOS!B76:B77,"X")</f>
        <v>0</v>
      </c>
      <c r="D39" s="80">
        <f>COUNTIF(REQUISITOS!C76:C77,"X")</f>
        <v>0</v>
      </c>
      <c r="E39" s="80">
        <f>COUNTIF(REQUISITOS!D76:D77,"X")</f>
        <v>0</v>
      </c>
      <c r="F39" s="80">
        <f>COUNTIF(REQUISITOS!E76:E77,"X")</f>
        <v>0</v>
      </c>
      <c r="G39" s="80">
        <f>COUNTIF(REQUISITOS!F76:F77,"X")</f>
        <v>0</v>
      </c>
      <c r="H39" s="80">
        <f>COUNTIF(REQUISITOS!G76:G77,"X")</f>
        <v>0</v>
      </c>
      <c r="I39" s="158">
        <f t="shared" si="4"/>
        <v>0</v>
      </c>
      <c r="N39" s="34"/>
    </row>
    <row r="40" spans="1:14" ht="14.65" thickBot="1" x14ac:dyDescent="0.5">
      <c r="A40" s="19"/>
      <c r="B40" s="27" t="s">
        <v>58</v>
      </c>
      <c r="C40" s="80">
        <f>COUNTIF(REQUISITOS!B80:B83,"X")</f>
        <v>0</v>
      </c>
      <c r="D40" s="80">
        <f>COUNTIF(REQUISITOS!C80:C83,"X")</f>
        <v>0</v>
      </c>
      <c r="E40" s="80">
        <f>COUNTIF(REQUISITOS!D80:D83,"X")</f>
        <v>0</v>
      </c>
      <c r="F40" s="80">
        <f>COUNTIF(REQUISITOS!E80:E83,"X")</f>
        <v>0</v>
      </c>
      <c r="G40" s="80">
        <f>COUNTIF(REQUISITOS!F80:F83,"X")</f>
        <v>0</v>
      </c>
      <c r="H40" s="80">
        <f>COUNTIF(REQUISITOS!G80:G83,"X")</f>
        <v>0</v>
      </c>
      <c r="I40" s="158">
        <f>SUM(C40:H40)</f>
        <v>0</v>
      </c>
    </row>
    <row r="41" spans="1:14" ht="15.75" customHeight="1" thickBot="1" x14ac:dyDescent="0.5">
      <c r="A41" s="8"/>
      <c r="B41" s="89" t="s">
        <v>39</v>
      </c>
      <c r="C41" s="90">
        <f t="shared" ref="C41:H41" si="5">SUM(C36:C40)</f>
        <v>0</v>
      </c>
      <c r="D41" s="91">
        <f t="shared" si="5"/>
        <v>0</v>
      </c>
      <c r="E41" s="91">
        <f t="shared" si="5"/>
        <v>0</v>
      </c>
      <c r="F41" s="91">
        <f t="shared" si="5"/>
        <v>0</v>
      </c>
      <c r="G41" s="91">
        <f t="shared" si="5"/>
        <v>0</v>
      </c>
      <c r="H41" s="91">
        <f t="shared" si="5"/>
        <v>0</v>
      </c>
      <c r="I41" s="155">
        <f>SUM(I36:I40)-H41</f>
        <v>0</v>
      </c>
      <c r="J41" s="9"/>
      <c r="K41" s="9"/>
    </row>
    <row r="42" spans="1:14" ht="15.75" customHeight="1" thickBot="1" x14ac:dyDescent="0.5">
      <c r="A42" s="8"/>
      <c r="B42" s="211" t="s">
        <v>44</v>
      </c>
      <c r="C42" s="212"/>
      <c r="D42" s="212"/>
      <c r="E42" s="212"/>
      <c r="F42" s="212"/>
      <c r="G42" s="212"/>
      <c r="H42" s="212"/>
      <c r="I42" s="213"/>
    </row>
    <row r="43" spans="1:14" ht="15.75" customHeight="1" thickBot="1" x14ac:dyDescent="0.5">
      <c r="A43" s="8"/>
      <c r="B43" s="206">
        <f>IF(I41=0,0,(C41*C35+D41*D35+E41*E35+F41*F35+G41*G35)/I41)</f>
        <v>0</v>
      </c>
      <c r="C43" s="207"/>
      <c r="D43" s="207"/>
      <c r="E43" s="207"/>
      <c r="F43" s="207"/>
      <c r="G43" s="207"/>
      <c r="H43" s="207"/>
      <c r="I43" s="187"/>
    </row>
    <row r="44" spans="1:14" ht="16.5" customHeight="1" thickBot="1" x14ac:dyDescent="0.5">
      <c r="A44" s="8"/>
      <c r="B44" s="22"/>
      <c r="C44" s="22"/>
    </row>
    <row r="45" spans="1:14" ht="15.75" customHeight="1" thickBot="1" x14ac:dyDescent="0.5">
      <c r="A45" s="8"/>
      <c r="B45" s="208" t="s">
        <v>59</v>
      </c>
      <c r="C45" s="209"/>
      <c r="D45" s="209"/>
      <c r="E45" s="209"/>
      <c r="F45" s="209"/>
      <c r="G45" s="209"/>
      <c r="H45" s="209"/>
      <c r="I45" s="210"/>
    </row>
    <row r="46" spans="1:14" ht="15.75" customHeight="1" thickBot="1" x14ac:dyDescent="0.5">
      <c r="A46" s="8"/>
      <c r="B46" s="86" t="s">
        <v>38</v>
      </c>
      <c r="C46" s="86">
        <v>0</v>
      </c>
      <c r="D46" s="86">
        <v>0.25</v>
      </c>
      <c r="E46" s="86">
        <v>0.5</v>
      </c>
      <c r="F46" s="86">
        <v>0.75</v>
      </c>
      <c r="G46" s="86">
        <v>1</v>
      </c>
      <c r="H46" s="87" t="s">
        <v>8</v>
      </c>
      <c r="I46" s="88" t="s">
        <v>39</v>
      </c>
    </row>
    <row r="47" spans="1:14" x14ac:dyDescent="0.45">
      <c r="B47" s="26" t="s">
        <v>60</v>
      </c>
      <c r="C47" s="152">
        <f>COUNTIF(REQUISITOS!B87:B90,"X")</f>
        <v>0</v>
      </c>
      <c r="D47" s="152">
        <f>COUNTIF(REQUISITOS!C87:C90,"X")</f>
        <v>0</v>
      </c>
      <c r="E47" s="152">
        <f>COUNTIF(REQUISITOS!D87:D90,"X")</f>
        <v>0</v>
      </c>
      <c r="F47" s="152">
        <f>COUNTIF(REQUISITOS!E87:E90,"X")</f>
        <v>0</v>
      </c>
      <c r="G47" s="152">
        <f>COUNTIF(REQUISITOS!F87:F90,"X")</f>
        <v>0</v>
      </c>
      <c r="H47" s="152">
        <f>COUNTIF(REQUISITOS!G87:G90,"X")</f>
        <v>0</v>
      </c>
      <c r="I47" s="163">
        <f t="shared" ref="I47:I49" si="6">SUM(C47:H47)</f>
        <v>0</v>
      </c>
    </row>
    <row r="48" spans="1:14" x14ac:dyDescent="0.45">
      <c r="B48" s="25" t="s">
        <v>61</v>
      </c>
      <c r="C48" s="153">
        <f>COUNTIF(REQUISITOS!B93,"X")</f>
        <v>0</v>
      </c>
      <c r="D48" s="153">
        <f>COUNTIF(REQUISITOS!C93,"X")</f>
        <v>0</v>
      </c>
      <c r="E48" s="153">
        <f>COUNTIF(REQUISITOS!D93,"X")</f>
        <v>0</v>
      </c>
      <c r="F48" s="153">
        <f>COUNTIF(REQUISITOS!E93,"X")</f>
        <v>0</v>
      </c>
      <c r="G48" s="153">
        <f>COUNTIF(REQUISITOS!F93,"X")</f>
        <v>0</v>
      </c>
      <c r="H48" s="153">
        <f>COUNTIF(REQUISITOS!G93,"X")</f>
        <v>0</v>
      </c>
      <c r="I48" s="164">
        <f t="shared" si="6"/>
        <v>0</v>
      </c>
    </row>
    <row r="49" spans="2:29" ht="14.65" thickBot="1" x14ac:dyDescent="0.5">
      <c r="B49" s="25" t="s">
        <v>62</v>
      </c>
      <c r="C49" s="153">
        <f>COUNTIF(REQUISITOS!B96:B99,"X")</f>
        <v>0</v>
      </c>
      <c r="D49" s="153">
        <f>COUNTIF(REQUISITOS!C96:C99,"X")</f>
        <v>0</v>
      </c>
      <c r="E49" s="153">
        <f>COUNTIF(REQUISITOS!D96:D99,"X")</f>
        <v>0</v>
      </c>
      <c r="F49" s="153">
        <f>COUNTIF(REQUISITOS!E96:E99,"X")</f>
        <v>0</v>
      </c>
      <c r="G49" s="153">
        <f>COUNTIF(REQUISITOS!F96:F99,"X")</f>
        <v>0</v>
      </c>
      <c r="H49" s="153">
        <f>COUNTIF(REQUISITOS!G96:G99,"X")</f>
        <v>0</v>
      </c>
      <c r="I49" s="164">
        <f t="shared" si="6"/>
        <v>0</v>
      </c>
    </row>
    <row r="50" spans="2:29" ht="15.75" customHeight="1" thickBot="1" x14ac:dyDescent="0.5">
      <c r="B50" s="89" t="s">
        <v>39</v>
      </c>
      <c r="C50" s="93">
        <f t="shared" ref="C50:H50" si="7">SUM(C47:C49)</f>
        <v>0</v>
      </c>
      <c r="D50" s="93">
        <f t="shared" si="7"/>
        <v>0</v>
      </c>
      <c r="E50" s="93">
        <f t="shared" si="7"/>
        <v>0</v>
      </c>
      <c r="F50" s="93">
        <f t="shared" si="7"/>
        <v>0</v>
      </c>
      <c r="G50" s="93">
        <f t="shared" si="7"/>
        <v>0</v>
      </c>
      <c r="H50" s="93">
        <f t="shared" si="7"/>
        <v>0</v>
      </c>
      <c r="I50" s="94">
        <f>SUM(I47:I49)-H50</f>
        <v>0</v>
      </c>
    </row>
    <row r="51" spans="2:29" ht="15.75" customHeight="1" thickBot="1" x14ac:dyDescent="0.5">
      <c r="B51" s="211" t="s">
        <v>44</v>
      </c>
      <c r="C51" s="212"/>
      <c r="D51" s="212"/>
      <c r="E51" s="212"/>
      <c r="F51" s="212"/>
      <c r="G51" s="212"/>
      <c r="H51" s="212"/>
      <c r="I51" s="213"/>
      <c r="J51" s="9"/>
      <c r="K51" s="9"/>
    </row>
    <row r="52" spans="2:29" ht="15.75" customHeight="1" thickBot="1" x14ac:dyDescent="0.5">
      <c r="B52" s="206">
        <f>IF(I50=0,0,(C50*C46+D50*D46+E50*E46+F50*F46+G50*G46)/I50)</f>
        <v>0</v>
      </c>
      <c r="C52" s="207"/>
      <c r="D52" s="207"/>
      <c r="E52" s="207"/>
      <c r="F52" s="207"/>
      <c r="G52" s="207"/>
      <c r="H52" s="207"/>
      <c r="I52" s="187"/>
    </row>
    <row r="53" spans="2:29" ht="15.75" customHeight="1" thickBot="1" x14ac:dyDescent="0.5"/>
    <row r="54" spans="2:29" ht="15.75" customHeight="1" thickBot="1" x14ac:dyDescent="0.5">
      <c r="B54" s="208" t="s">
        <v>63</v>
      </c>
      <c r="C54" s="214"/>
      <c r="D54" s="214"/>
      <c r="E54" s="214"/>
      <c r="F54" s="214"/>
      <c r="G54" s="214"/>
      <c r="H54" s="214"/>
      <c r="I54" s="210"/>
      <c r="J54" s="9"/>
      <c r="K54" s="9"/>
    </row>
    <row r="55" spans="2:29" ht="19.5" customHeight="1" thickBot="1" x14ac:dyDescent="0.55000000000000004">
      <c r="B55" s="136" t="s">
        <v>38</v>
      </c>
      <c r="C55" s="139">
        <v>0</v>
      </c>
      <c r="D55" s="139">
        <v>0.25</v>
      </c>
      <c r="E55" s="139">
        <v>0.5</v>
      </c>
      <c r="F55" s="139">
        <v>0.75</v>
      </c>
      <c r="G55" s="139">
        <v>1</v>
      </c>
      <c r="H55" s="140" t="s">
        <v>8</v>
      </c>
      <c r="I55" s="137" t="s">
        <v>39</v>
      </c>
      <c r="L55" s="230" t="s">
        <v>103</v>
      </c>
      <c r="M55" s="231"/>
      <c r="N55" s="232"/>
      <c r="O55" s="97"/>
    </row>
    <row r="56" spans="2:29" ht="21" customHeight="1" x14ac:dyDescent="0.45">
      <c r="B56" s="26" t="s">
        <v>64</v>
      </c>
      <c r="C56" s="138">
        <f>COUNTIF(REQUISITOS!B103:B105,"X")</f>
        <v>0</v>
      </c>
      <c r="D56" s="138">
        <f>COUNTIF(REQUISITOS!C103:C105,"X")</f>
        <v>0</v>
      </c>
      <c r="E56" s="138">
        <f>COUNTIF(REQUISITOS!D103:D105,"X")</f>
        <v>0</v>
      </c>
      <c r="F56" s="138">
        <f>COUNTIF(REQUISITOS!E103:E105,"X")</f>
        <v>0</v>
      </c>
      <c r="G56" s="138">
        <f>COUNTIF(REQUISITOS!F103:F105,"X")</f>
        <v>0</v>
      </c>
      <c r="H56" s="138">
        <f>COUNTIF(REQUISITOS!G103:G105,"X")</f>
        <v>0</v>
      </c>
      <c r="I56" s="163">
        <f>SUM(C56:H56)</f>
        <v>0</v>
      </c>
      <c r="L56" s="233" t="str">
        <f>CONCATENATE(AC57,TEXT(M15,"0.00%"),AC58,TEXT(N15,""),AC59,TEXT(M16,"0.00%"),AC60)</f>
        <v>Según el diagnóstico realizado y análisis de la situación actual de la empresa conforme a los requisitos de la norma ISO 27001:2022 se ha obtenido los siguientes resultados: La tabla "TOTAL DE IMPLEMENTACIÓN SGSI" muestra que se ha obtenido un porcentaje de implementación de  0.00% encontrándose en un nivel de implementación INICIAL con respecto a los "DEBES" que la norma contempla en su totalidad dentro de cada uno de sus requisitos, asi mismo la imagen "PORCENTAJE DE IMPLEMENTACIÓN DEL SGSI" muestra que existe una brecha de implementación de 100.00% para el cumplimiento del 100% de la norma.</v>
      </c>
      <c r="M56" s="234"/>
      <c r="N56" s="235"/>
      <c r="O56" s="96"/>
    </row>
    <row r="57" spans="2:29" ht="15" customHeight="1" x14ac:dyDescent="0.45">
      <c r="B57" s="25" t="s">
        <v>65</v>
      </c>
      <c r="C57" s="80">
        <f>COUNTIF(REQUISITOS!B108:B110,"X")</f>
        <v>0</v>
      </c>
      <c r="D57" s="80">
        <f>COUNTIF(REQUISITOS!C108:C110,"X")</f>
        <v>0</v>
      </c>
      <c r="E57" s="80">
        <f>COUNTIF(REQUISITOS!D108:D110,"X")</f>
        <v>0</v>
      </c>
      <c r="F57" s="80">
        <f>COUNTIF(REQUISITOS!E108:E110,"X")</f>
        <v>0</v>
      </c>
      <c r="G57" s="80">
        <f>COUNTIF(REQUISITOS!F108:F110,"X")</f>
        <v>0</v>
      </c>
      <c r="H57" s="80">
        <f>COUNTIF(REQUISITOS!G108:G110,"X")</f>
        <v>0</v>
      </c>
      <c r="I57" s="164">
        <f>SUM(C57:H57)</f>
        <v>0</v>
      </c>
      <c r="L57" s="236"/>
      <c r="M57" s="237"/>
      <c r="N57" s="238"/>
      <c r="O57" s="96"/>
      <c r="AC57" s="37" t="s">
        <v>192</v>
      </c>
    </row>
    <row r="58" spans="2:29" ht="15.75" customHeight="1" thickBot="1" x14ac:dyDescent="0.5">
      <c r="B58" s="25" t="s">
        <v>66</v>
      </c>
      <c r="C58" s="80">
        <f>COUNTIF(REQUISITOS!B113:B115,"X")</f>
        <v>0</v>
      </c>
      <c r="D58" s="80">
        <f>COUNTIF(REQUISITOS!C113:C115,"X")</f>
        <v>0</v>
      </c>
      <c r="E58" s="80">
        <f>COUNTIF(REQUISITOS!D113:D115,"X")</f>
        <v>0</v>
      </c>
      <c r="F58" s="80">
        <f>COUNTIF(REQUISITOS!E113:E115,"X")</f>
        <v>0</v>
      </c>
      <c r="G58" s="80">
        <f>COUNTIF(REQUISITOS!F113:F115,"X")</f>
        <v>0</v>
      </c>
      <c r="H58" s="80">
        <f>COUNTIF(REQUISITOS!G113:G115,"X")</f>
        <v>0</v>
      </c>
      <c r="I58" s="165">
        <f>SUM(C58:H58)</f>
        <v>0</v>
      </c>
      <c r="L58" s="236"/>
      <c r="M58" s="237"/>
      <c r="N58" s="238"/>
      <c r="O58" s="96"/>
      <c r="AC58" s="37" t="s">
        <v>104</v>
      </c>
    </row>
    <row r="59" spans="2:29" ht="15.75" customHeight="1" thickBot="1" x14ac:dyDescent="0.5">
      <c r="B59" s="89" t="s">
        <v>39</v>
      </c>
      <c r="C59" s="93">
        <f t="shared" ref="C59:H59" si="8">SUM(C56:C58)</f>
        <v>0</v>
      </c>
      <c r="D59" s="93">
        <f t="shared" si="8"/>
        <v>0</v>
      </c>
      <c r="E59" s="93">
        <f t="shared" si="8"/>
        <v>0</v>
      </c>
      <c r="F59" s="93">
        <f t="shared" si="8"/>
        <v>0</v>
      </c>
      <c r="G59" s="93">
        <f t="shared" si="8"/>
        <v>0</v>
      </c>
      <c r="H59" s="93">
        <f t="shared" si="8"/>
        <v>0</v>
      </c>
      <c r="I59" s="94">
        <f>SUM(I56:I58)-H59</f>
        <v>0</v>
      </c>
      <c r="L59" s="236"/>
      <c r="M59" s="237"/>
      <c r="N59" s="238"/>
      <c r="O59" s="96"/>
      <c r="AC59" s="37" t="s">
        <v>189</v>
      </c>
    </row>
    <row r="60" spans="2:29" ht="15.75" customHeight="1" thickBot="1" x14ac:dyDescent="0.5">
      <c r="B60" s="211" t="s">
        <v>44</v>
      </c>
      <c r="C60" s="212"/>
      <c r="D60" s="212"/>
      <c r="E60" s="212"/>
      <c r="F60" s="212"/>
      <c r="G60" s="212"/>
      <c r="H60" s="212"/>
      <c r="I60" s="213"/>
      <c r="L60" s="236"/>
      <c r="M60" s="237"/>
      <c r="N60" s="238"/>
      <c r="O60" s="96"/>
      <c r="AC60" s="37" t="s">
        <v>67</v>
      </c>
    </row>
    <row r="61" spans="2:29" ht="15.75" customHeight="1" thickBot="1" x14ac:dyDescent="0.5">
      <c r="B61" s="206">
        <f>IF(I59=0,0,(C59*C55+D59*D55+E59*E55+F59*F55+G59*G55)/I59)</f>
        <v>0</v>
      </c>
      <c r="C61" s="207"/>
      <c r="D61" s="207"/>
      <c r="E61" s="207"/>
      <c r="F61" s="207"/>
      <c r="G61" s="207"/>
      <c r="H61" s="207"/>
      <c r="I61" s="187"/>
      <c r="L61" s="236"/>
      <c r="M61" s="237"/>
      <c r="N61" s="238"/>
      <c r="O61" s="96"/>
    </row>
    <row r="62" spans="2:29" ht="15.75" customHeight="1" thickBot="1" x14ac:dyDescent="0.5">
      <c r="L62" s="236"/>
      <c r="M62" s="237"/>
      <c r="N62" s="238"/>
      <c r="O62" s="96"/>
    </row>
    <row r="63" spans="2:29" ht="15.75" customHeight="1" thickBot="1" x14ac:dyDescent="0.5">
      <c r="B63" s="208" t="s">
        <v>68</v>
      </c>
      <c r="C63" s="209"/>
      <c r="D63" s="209"/>
      <c r="E63" s="209"/>
      <c r="F63" s="209"/>
      <c r="G63" s="209"/>
      <c r="H63" s="209"/>
      <c r="I63" s="210"/>
      <c r="L63" s="236"/>
      <c r="M63" s="237"/>
      <c r="N63" s="238"/>
    </row>
    <row r="64" spans="2:29" ht="15.75" customHeight="1" thickBot="1" x14ac:dyDescent="0.5">
      <c r="B64" s="86" t="s">
        <v>38</v>
      </c>
      <c r="C64" s="86">
        <v>0</v>
      </c>
      <c r="D64" s="86">
        <v>0.25</v>
      </c>
      <c r="E64" s="166">
        <v>0.5</v>
      </c>
      <c r="F64" s="166">
        <v>0.75</v>
      </c>
      <c r="G64" s="166">
        <v>1</v>
      </c>
      <c r="H64" s="87" t="s">
        <v>8</v>
      </c>
      <c r="I64" s="137" t="s">
        <v>39</v>
      </c>
      <c r="L64" s="239"/>
      <c r="M64" s="240"/>
      <c r="N64" s="241"/>
      <c r="AC64" s="35"/>
    </row>
    <row r="65" spans="2:14" ht="15" customHeight="1" x14ac:dyDescent="0.45">
      <c r="B65" s="26" t="s">
        <v>69</v>
      </c>
      <c r="C65" s="152">
        <f>COUNTIF(REQUISITOS!B119:B121,"X")</f>
        <v>0</v>
      </c>
      <c r="D65" s="152">
        <f>COUNTIF(REQUISITOS!C119:C121,"X")</f>
        <v>0</v>
      </c>
      <c r="E65" s="152">
        <f>COUNTIF(REQUISITOS!D119:D121,"X")</f>
        <v>0</v>
      </c>
      <c r="F65" s="152">
        <f>COUNTIF(REQUISITOS!E119:E121,"X")</f>
        <v>0</v>
      </c>
      <c r="G65" s="152">
        <f>COUNTIF(REQUISITOS!F119:F121,"X")</f>
        <v>0</v>
      </c>
      <c r="H65" s="152">
        <f>COUNTIF(REQUISITOS!G119:G121,"X")</f>
        <v>0</v>
      </c>
      <c r="I65" s="163">
        <f>SUM(C65:H65)</f>
        <v>0</v>
      </c>
    </row>
    <row r="66" spans="2:14" ht="15" customHeight="1" thickBot="1" x14ac:dyDescent="0.5">
      <c r="B66" s="25" t="s">
        <v>70</v>
      </c>
      <c r="C66" s="153">
        <f>COUNTIF(REQUISITOS!B124:B125,"X")</f>
        <v>0</v>
      </c>
      <c r="D66" s="153">
        <f>COUNTIF(REQUISITOS!C124:C125,"X")</f>
        <v>0</v>
      </c>
      <c r="E66" s="153">
        <f>COUNTIF(REQUISITOS!D124:D125,"X")</f>
        <v>0</v>
      </c>
      <c r="F66" s="153">
        <f>COUNTIF(REQUISITOS!E124:E125,"X")</f>
        <v>0</v>
      </c>
      <c r="G66" s="153">
        <f>COUNTIF(REQUISITOS!F124:F125,"X")</f>
        <v>0</v>
      </c>
      <c r="H66" s="153">
        <f>COUNTIF(REQUISITOS!G124:G125,"X")</f>
        <v>0</v>
      </c>
      <c r="I66" s="164">
        <f>SUM(C66:H66)</f>
        <v>0</v>
      </c>
      <c r="L66" s="96"/>
      <c r="M66" s="96"/>
      <c r="N66" s="96"/>
    </row>
    <row r="67" spans="2:14" ht="15.75" customHeight="1" thickBot="1" x14ac:dyDescent="0.5">
      <c r="B67" s="89" t="s">
        <v>39</v>
      </c>
      <c r="C67" s="90">
        <f t="shared" ref="C67:H67" si="9">SUM(C65:C66)</f>
        <v>0</v>
      </c>
      <c r="D67" s="90">
        <f t="shared" si="9"/>
        <v>0</v>
      </c>
      <c r="E67" s="90">
        <f t="shared" si="9"/>
        <v>0</v>
      </c>
      <c r="F67" s="90">
        <f t="shared" si="9"/>
        <v>0</v>
      </c>
      <c r="G67" s="90">
        <f t="shared" si="9"/>
        <v>0</v>
      </c>
      <c r="H67" s="90">
        <f t="shared" si="9"/>
        <v>0</v>
      </c>
      <c r="I67" s="91">
        <f>SUM(I65:I66)-H67</f>
        <v>0</v>
      </c>
      <c r="L67" s="96"/>
      <c r="M67" s="96"/>
      <c r="N67" s="96"/>
    </row>
    <row r="68" spans="2:14" ht="15.75" customHeight="1" thickBot="1" x14ac:dyDescent="0.5">
      <c r="B68" s="211" t="s">
        <v>44</v>
      </c>
      <c r="C68" s="212"/>
      <c r="D68" s="212"/>
      <c r="E68" s="212"/>
      <c r="F68" s="212"/>
      <c r="G68" s="212"/>
      <c r="H68" s="212"/>
      <c r="I68" s="213"/>
      <c r="L68" s="96"/>
      <c r="M68" s="96"/>
      <c r="N68" s="96"/>
    </row>
    <row r="69" spans="2:14" ht="15.75" customHeight="1" thickBot="1" x14ac:dyDescent="0.5">
      <c r="B69" s="206">
        <f>IF(I67=0,0,(C67*C64+D67*D64+E67*E64+F67*F64+G67*G64)/I67)</f>
        <v>0</v>
      </c>
      <c r="C69" s="207"/>
      <c r="D69" s="207"/>
      <c r="E69" s="207"/>
      <c r="F69" s="207"/>
      <c r="G69" s="207"/>
      <c r="H69" s="207"/>
      <c r="I69" s="187"/>
      <c r="L69" s="96"/>
      <c r="M69" s="96"/>
      <c r="N69" s="96"/>
    </row>
    <row r="70" spans="2:14" ht="15" customHeight="1" x14ac:dyDescent="0.45">
      <c r="L70" s="96"/>
      <c r="M70" s="96"/>
      <c r="N70" s="96"/>
    </row>
    <row r="71" spans="2:14" ht="15.75" customHeight="1" thickBot="1" x14ac:dyDescent="0.5">
      <c r="L71" s="96"/>
      <c r="M71" s="96"/>
      <c r="N71" s="96"/>
    </row>
    <row r="72" spans="2:14" ht="15.75" customHeight="1" thickBot="1" x14ac:dyDescent="0.5">
      <c r="B72" s="208" t="s">
        <v>116</v>
      </c>
      <c r="C72" s="209"/>
      <c r="D72" s="209"/>
      <c r="E72" s="209"/>
      <c r="F72" s="209"/>
      <c r="G72" s="209"/>
      <c r="H72" s="209"/>
      <c r="I72" s="210"/>
    </row>
    <row r="73" spans="2:14" s="36" customFormat="1" ht="16.5" customHeight="1" thickBot="1" x14ac:dyDescent="0.5">
      <c r="B73" s="12" t="s">
        <v>71</v>
      </c>
      <c r="C73" s="23">
        <v>0</v>
      </c>
      <c r="D73" s="23">
        <v>0.25</v>
      </c>
      <c r="E73" s="23">
        <v>0.5</v>
      </c>
      <c r="F73" s="23">
        <v>0.75</v>
      </c>
      <c r="G73" s="23">
        <v>1</v>
      </c>
      <c r="H73" s="12" t="s">
        <v>8</v>
      </c>
      <c r="I73" s="12" t="s">
        <v>72</v>
      </c>
      <c r="M73" s="37"/>
    </row>
    <row r="74" spans="2:14" ht="15.75" customHeight="1" thickBot="1" x14ac:dyDescent="0.5">
      <c r="B74" s="169" t="s">
        <v>73</v>
      </c>
      <c r="C74" s="168">
        <f t="shared" ref="C74:H74" si="10">SUM(C13,C22,C30,C41,C50,C59,C67)</f>
        <v>0</v>
      </c>
      <c r="D74" s="167">
        <f t="shared" si="10"/>
        <v>0</v>
      </c>
      <c r="E74" s="167">
        <f t="shared" si="10"/>
        <v>0</v>
      </c>
      <c r="F74" s="168">
        <f t="shared" si="10"/>
        <v>0</v>
      </c>
      <c r="G74" s="167">
        <f t="shared" si="10"/>
        <v>0</v>
      </c>
      <c r="H74" s="167">
        <f t="shared" si="10"/>
        <v>0</v>
      </c>
      <c r="I74" s="167">
        <f>SUM(C74:G74)</f>
        <v>0</v>
      </c>
    </row>
    <row r="75" spans="2:14" ht="15.75" customHeight="1" thickBot="1" x14ac:dyDescent="0.5">
      <c r="B75" s="211" t="s">
        <v>44</v>
      </c>
      <c r="C75" s="212"/>
      <c r="D75" s="212"/>
      <c r="E75" s="212"/>
      <c r="F75" s="212"/>
      <c r="G75" s="212"/>
      <c r="H75" s="212"/>
      <c r="I75" s="213"/>
    </row>
    <row r="76" spans="2:14" ht="15.75" customHeight="1" thickBot="1" x14ac:dyDescent="0.5">
      <c r="B76" s="206">
        <f>IF(I74=0,0,(C74*C73+D74*D73+E74*E73+F74*F73+G74*G73)/I74)</f>
        <v>0</v>
      </c>
      <c r="C76" s="207"/>
      <c r="D76" s="207"/>
      <c r="E76" s="207"/>
      <c r="F76" s="207"/>
      <c r="G76" s="207"/>
      <c r="H76" s="207"/>
      <c r="I76" s="187"/>
      <c r="L76" s="36"/>
      <c r="M76" s="36"/>
    </row>
    <row r="77" spans="2:14" x14ac:dyDescent="0.45">
      <c r="D77" s="24"/>
      <c r="E77" s="29"/>
    </row>
  </sheetData>
  <mergeCells count="30">
    <mergeCell ref="L55:N55"/>
    <mergeCell ref="L56:N64"/>
    <mergeCell ref="B7:I7"/>
    <mergeCell ref="B14:I14"/>
    <mergeCell ref="B15:I15"/>
    <mergeCell ref="B23:I23"/>
    <mergeCell ref="B24:I24"/>
    <mergeCell ref="B42:I42"/>
    <mergeCell ref="B26:I26"/>
    <mergeCell ref="B31:I31"/>
    <mergeCell ref="B32:I32"/>
    <mergeCell ref="B34:I34"/>
    <mergeCell ref="B43:I43"/>
    <mergeCell ref="B2:N3"/>
    <mergeCell ref="B4:J5"/>
    <mergeCell ref="L4:N5"/>
    <mergeCell ref="L7:N7"/>
    <mergeCell ref="B17:I17"/>
    <mergeCell ref="B76:I76"/>
    <mergeCell ref="B45:I45"/>
    <mergeCell ref="B51:I51"/>
    <mergeCell ref="B52:I52"/>
    <mergeCell ref="B54:I54"/>
    <mergeCell ref="B60:I60"/>
    <mergeCell ref="B61:I61"/>
    <mergeCell ref="B63:I63"/>
    <mergeCell ref="B68:I68"/>
    <mergeCell ref="B69:I69"/>
    <mergeCell ref="B72:I72"/>
    <mergeCell ref="B75:I75"/>
  </mergeCells>
  <conditionalFormatting sqref="M9:M15">
    <cfRule type="cellIs" dxfId="4" priority="1" operator="between">
      <formula>0.5</formula>
      <formula>0.74</formula>
    </cfRule>
    <cfRule type="cellIs" dxfId="3" priority="2" operator="between">
      <formula>0.75</formula>
      <formula>1</formula>
    </cfRule>
    <cfRule type="cellIs" dxfId="2" priority="3" operator="between">
      <formula>0.5</formula>
      <formula>0.75</formula>
    </cfRule>
    <cfRule type="cellIs" dxfId="1" priority="4" operator="between">
      <formula>0.25</formula>
      <formula>0.5</formula>
    </cfRule>
    <cfRule type="cellIs" dxfId="0" priority="5" operator="between">
      <formula>0</formula>
      <formula>0.24</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AH48"/>
  <sheetViews>
    <sheetView zoomScale="70" zoomScaleNormal="70" workbookViewId="0">
      <selection activeCell="B49" sqref="B49"/>
    </sheetView>
  </sheetViews>
  <sheetFormatPr baseColWidth="10" defaultColWidth="11.3984375" defaultRowHeight="14.25" x14ac:dyDescent="0.45"/>
  <cols>
    <col min="1" max="1" width="11.3984375" style="37" customWidth="1"/>
    <col min="2" max="2" width="65.86328125" style="37" customWidth="1"/>
    <col min="3" max="8" width="14.3984375" style="37" customWidth="1"/>
    <col min="9" max="9" width="12.73046875" style="37" customWidth="1"/>
    <col min="10" max="10" width="3.86328125" style="37" customWidth="1"/>
    <col min="11" max="11" width="11.3984375" style="37" customWidth="1"/>
    <col min="12" max="16384" width="11.3984375" style="37"/>
  </cols>
  <sheetData>
    <row r="2" spans="2:34" ht="14.65" thickBot="1" x14ac:dyDescent="0.5"/>
    <row r="3" spans="2:34" ht="15" customHeight="1" x14ac:dyDescent="0.45">
      <c r="B3" s="215" t="s">
        <v>35</v>
      </c>
      <c r="C3" s="216"/>
      <c r="D3" s="216"/>
      <c r="E3" s="216"/>
      <c r="F3" s="216"/>
      <c r="G3" s="216"/>
      <c r="H3" s="216"/>
      <c r="I3" s="216"/>
      <c r="J3" s="216"/>
      <c r="K3" s="217"/>
      <c r="L3"/>
      <c r="M3"/>
      <c r="N3"/>
      <c r="O3"/>
      <c r="P3"/>
    </row>
    <row r="4" spans="2:34" ht="15.75" customHeight="1" thickBot="1" x14ac:dyDescent="0.5">
      <c r="B4" s="218"/>
      <c r="C4" s="219"/>
      <c r="D4" s="219"/>
      <c r="E4" s="219"/>
      <c r="F4" s="219"/>
      <c r="G4" s="219"/>
      <c r="H4" s="219"/>
      <c r="I4" s="219"/>
      <c r="J4" s="219"/>
      <c r="K4" s="220"/>
      <c r="L4"/>
      <c r="M4"/>
      <c r="N4"/>
      <c r="O4"/>
      <c r="P4"/>
    </row>
    <row r="5" spans="2:34" ht="15.75" customHeight="1" x14ac:dyDescent="0.45">
      <c r="B5" s="245" t="s">
        <v>105</v>
      </c>
      <c r="C5" s="246"/>
      <c r="D5" s="246"/>
      <c r="E5" s="246"/>
      <c r="F5" s="221" t="str">
        <f>IF(M9&lt;=24%,"INICIAL",IF(M9&lt;=49%,"NOVATO",IF(M9&lt;=74%,"COMPETENTE",IF(M9&lt;=99%,"AVANZADO","EXPERTO"))))</f>
        <v>INICIAL</v>
      </c>
      <c r="G5" s="222"/>
      <c r="H5" s="222"/>
      <c r="I5" s="222"/>
      <c r="J5" s="222"/>
      <c r="K5" s="223"/>
      <c r="L5"/>
      <c r="M5"/>
      <c r="N5"/>
      <c r="O5"/>
      <c r="P5"/>
    </row>
    <row r="6" spans="2:34" ht="15.75" customHeight="1" thickBot="1" x14ac:dyDescent="0.5">
      <c r="B6" s="224"/>
      <c r="C6" s="225"/>
      <c r="D6" s="225"/>
      <c r="E6" s="225"/>
      <c r="F6" s="224"/>
      <c r="G6" s="225"/>
      <c r="H6" s="225"/>
      <c r="I6" s="225"/>
      <c r="J6" s="225"/>
      <c r="K6" s="226"/>
      <c r="L6"/>
      <c r="M6"/>
      <c r="N6"/>
      <c r="O6"/>
      <c r="P6"/>
    </row>
    <row r="7" spans="2:34" x14ac:dyDescent="0.45">
      <c r="B7" s="36"/>
      <c r="C7" s="36"/>
      <c r="D7" s="36"/>
      <c r="E7" s="36"/>
      <c r="F7" s="36"/>
      <c r="G7" s="36"/>
      <c r="H7" s="36"/>
      <c r="I7" s="36"/>
      <c r="J7"/>
      <c r="K7"/>
      <c r="L7"/>
      <c r="M7"/>
      <c r="N7"/>
      <c r="O7"/>
      <c r="P7"/>
    </row>
    <row r="8" spans="2:34" ht="15.75" customHeight="1" thickBot="1" x14ac:dyDescent="0.5">
      <c r="I8" s="36"/>
      <c r="J8" s="36"/>
      <c r="K8" s="36"/>
      <c r="L8" s="36"/>
      <c r="M8" s="36"/>
    </row>
    <row r="9" spans="2:34" ht="15.75" customHeight="1" thickBot="1" x14ac:dyDescent="0.5">
      <c r="B9" s="208" t="s">
        <v>36</v>
      </c>
      <c r="C9" s="209"/>
      <c r="D9" s="209"/>
      <c r="E9" s="209"/>
      <c r="F9" s="209"/>
      <c r="G9" s="209"/>
      <c r="H9" s="209"/>
      <c r="I9" s="210"/>
    </row>
    <row r="10" spans="2:34" ht="36" customHeight="1" thickBot="1" x14ac:dyDescent="0.5">
      <c r="B10" s="98"/>
      <c r="C10" s="111" t="s">
        <v>74</v>
      </c>
      <c r="D10" s="111" t="s">
        <v>75</v>
      </c>
      <c r="E10" s="112" t="s">
        <v>76</v>
      </c>
      <c r="F10" s="112" t="s">
        <v>77</v>
      </c>
      <c r="G10" s="112" t="s">
        <v>78</v>
      </c>
      <c r="H10" s="113" t="s">
        <v>9</v>
      </c>
      <c r="I10" s="99"/>
      <c r="AA10"/>
      <c r="AB10"/>
      <c r="AC10"/>
      <c r="AD10"/>
      <c r="AE10"/>
      <c r="AF10"/>
      <c r="AG10"/>
      <c r="AH10"/>
    </row>
    <row r="11" spans="2:34" ht="15.75" customHeight="1" thickBot="1" x14ac:dyDescent="0.5">
      <c r="B11" s="10" t="s">
        <v>38</v>
      </c>
      <c r="C11" s="30">
        <v>0</v>
      </c>
      <c r="D11" s="30">
        <v>0.25</v>
      </c>
      <c r="E11" s="30">
        <v>0.5</v>
      </c>
      <c r="F11" s="30">
        <v>0.75</v>
      </c>
      <c r="G11" s="30">
        <v>1</v>
      </c>
      <c r="H11" s="31" t="s">
        <v>8</v>
      </c>
      <c r="I11" s="12" t="s">
        <v>39</v>
      </c>
      <c r="AA11"/>
      <c r="AB11"/>
      <c r="AC11"/>
      <c r="AD11"/>
      <c r="AE11"/>
      <c r="AF11"/>
      <c r="AG11"/>
      <c r="AH11"/>
    </row>
    <row r="12" spans="2:34" ht="19.5" customHeight="1" x14ac:dyDescent="0.45">
      <c r="B12" s="118" t="s">
        <v>106</v>
      </c>
      <c r="C12" s="105">
        <f>COUNTIF(REQUISITOS!B15:B17,"X")</f>
        <v>0</v>
      </c>
      <c r="D12" s="105">
        <f>COUNTIF(REQUISITOS!C15:C17,"X")</f>
        <v>0</v>
      </c>
      <c r="E12" s="105">
        <f>COUNTIF(REQUISITOS!D15:D17,"X")</f>
        <v>0</v>
      </c>
      <c r="F12" s="105">
        <f>COUNTIF(REQUISITOS!E15:E17,"X")</f>
        <v>0</v>
      </c>
      <c r="G12" s="105">
        <f>COUNTIF(REQUISITOS!F15:F17,"X")</f>
        <v>0</v>
      </c>
      <c r="H12" s="105">
        <f>COUNTIF(REQUISITOS!G15:G17,"X")</f>
        <v>0</v>
      </c>
      <c r="I12" s="114">
        <f>SUM(C12:G12)</f>
        <v>0</v>
      </c>
      <c r="AA12"/>
      <c r="AB12"/>
      <c r="AC12"/>
      <c r="AD12"/>
      <c r="AE12"/>
      <c r="AF12"/>
      <c r="AG12"/>
      <c r="AH12"/>
    </row>
    <row r="13" spans="2:34" ht="19.5" customHeight="1" x14ac:dyDescent="0.45">
      <c r="B13" s="119" t="s">
        <v>16</v>
      </c>
      <c r="C13" s="106">
        <f>COUNTIF(REQUISITOS!B20:B22,"X")</f>
        <v>0</v>
      </c>
      <c r="D13" s="106">
        <f>COUNTIF(REQUISITOS!C20:C22,"X")</f>
        <v>0</v>
      </c>
      <c r="E13" s="106">
        <f>COUNTIF(REQUISITOS!D20:D22,"X")</f>
        <v>0</v>
      </c>
      <c r="F13" s="106">
        <f>COUNTIF(REQUISITOS!E20:E22,"X")</f>
        <v>0</v>
      </c>
      <c r="G13" s="106">
        <f>COUNTIF(REQUISITOS!F20:F22,"X")</f>
        <v>0</v>
      </c>
      <c r="H13" s="106">
        <f>COUNTIF(REQUISITOS!G20:G22,"X")</f>
        <v>0</v>
      </c>
      <c r="I13" s="115">
        <f>SUM(C13:H13)</f>
        <v>0</v>
      </c>
      <c r="AA13"/>
      <c r="AB13"/>
      <c r="AC13"/>
      <c r="AD13"/>
      <c r="AE13"/>
      <c r="AF13"/>
      <c r="AG13"/>
      <c r="AH13"/>
    </row>
    <row r="14" spans="2:34" ht="19.5" customHeight="1" x14ac:dyDescent="0.45">
      <c r="B14" s="119" t="s">
        <v>124</v>
      </c>
      <c r="C14" s="106">
        <f>COUNTIF(REQUISITOS!B25:B26,"X")</f>
        <v>0</v>
      </c>
      <c r="D14" s="106">
        <f>COUNTIF(REQUISITOS!C25:C26,"X")</f>
        <v>0</v>
      </c>
      <c r="E14" s="106">
        <f>COUNTIF(REQUISITOS!D25:D26,"X")</f>
        <v>0</v>
      </c>
      <c r="F14" s="106">
        <f>COUNTIF(REQUISITOS!E25:E26,"X")</f>
        <v>0</v>
      </c>
      <c r="G14" s="106">
        <f>COUNTIF(REQUISITOS!F25:F26,"X")</f>
        <v>0</v>
      </c>
      <c r="H14" s="106">
        <f>COUNTIF(REQUISITOS!G25:G26,"X")</f>
        <v>0</v>
      </c>
      <c r="I14" s="115">
        <f>SUM(C14:H14)</f>
        <v>0</v>
      </c>
      <c r="AA14"/>
      <c r="AB14"/>
      <c r="AC14"/>
      <c r="AD14"/>
      <c r="AE14"/>
      <c r="AF14"/>
      <c r="AG14"/>
      <c r="AH14"/>
    </row>
    <row r="15" spans="2:34" ht="19.5" customHeight="1" thickBot="1" x14ac:dyDescent="0.5">
      <c r="B15" s="119" t="s">
        <v>127</v>
      </c>
      <c r="C15" s="106">
        <f>COUNTIF(REQUISITOS!B29:B30,"X")</f>
        <v>0</v>
      </c>
      <c r="D15" s="106">
        <f>COUNTIF(REQUISITOS!C29:C30,"X")</f>
        <v>0</v>
      </c>
      <c r="E15" s="106">
        <f>COUNTIF(REQUISITOS!D29:D30,"X")</f>
        <v>0</v>
      </c>
      <c r="F15" s="106">
        <f>COUNTIF(REQUISITOS!E29:E30,"X")</f>
        <v>0</v>
      </c>
      <c r="G15" s="106">
        <f>COUNTIF(REQUISITOS!F29:F30,"X")</f>
        <v>0</v>
      </c>
      <c r="H15" s="106">
        <f>COUNTIF(REQUISITOS!G29:G30,"X")</f>
        <v>0</v>
      </c>
      <c r="I15" s="115">
        <f>SUM(C15:H15)</f>
        <v>0</v>
      </c>
      <c r="AA15"/>
      <c r="AB15"/>
      <c r="AC15"/>
      <c r="AD15"/>
      <c r="AE15"/>
      <c r="AF15"/>
      <c r="AG15"/>
      <c r="AH15"/>
    </row>
    <row r="16" spans="2:34" ht="15.75" customHeight="1" thickBot="1" x14ac:dyDescent="0.5">
      <c r="B16" s="104" t="s">
        <v>39</v>
      </c>
      <c r="C16" s="102">
        <f t="shared" ref="C16:H16" si="0">SUM(C12:C15)</f>
        <v>0</v>
      </c>
      <c r="D16" s="102">
        <f t="shared" si="0"/>
        <v>0</v>
      </c>
      <c r="E16" s="102">
        <f t="shared" si="0"/>
        <v>0</v>
      </c>
      <c r="F16" s="102">
        <f t="shared" si="0"/>
        <v>0</v>
      </c>
      <c r="G16" s="102">
        <f t="shared" si="0"/>
        <v>0</v>
      </c>
      <c r="H16" s="102">
        <f t="shared" si="0"/>
        <v>0</v>
      </c>
      <c r="I16" s="103">
        <f>SUM(I12:I15)-H16</f>
        <v>0</v>
      </c>
      <c r="AA16"/>
      <c r="AB16"/>
      <c r="AC16"/>
      <c r="AD16"/>
      <c r="AE16"/>
      <c r="AF16"/>
      <c r="AG16"/>
      <c r="AH16"/>
    </row>
    <row r="17" spans="2:34" ht="15.75" customHeight="1" thickBot="1" x14ac:dyDescent="0.5">
      <c r="B17" s="211" t="s">
        <v>79</v>
      </c>
      <c r="C17" s="212"/>
      <c r="D17" s="212"/>
      <c r="E17" s="212"/>
      <c r="F17" s="212"/>
      <c r="G17" s="212"/>
      <c r="H17" s="212"/>
      <c r="I17" s="213"/>
      <c r="AA17"/>
      <c r="AB17"/>
      <c r="AC17"/>
      <c r="AD17"/>
      <c r="AE17"/>
      <c r="AF17"/>
      <c r="AG17"/>
      <c r="AH17"/>
    </row>
    <row r="18" spans="2:34" ht="15.75" customHeight="1" thickBot="1" x14ac:dyDescent="0.5">
      <c r="B18" s="206">
        <f>IF(I16=0,0,(C16*C11+D16*D11+E16*E11+F16*F11+G16*G11)/I16)</f>
        <v>0</v>
      </c>
      <c r="C18" s="207"/>
      <c r="D18" s="207"/>
      <c r="E18" s="207"/>
      <c r="F18" s="207"/>
      <c r="G18" s="207"/>
      <c r="H18" s="207"/>
      <c r="I18" s="187"/>
      <c r="AA18"/>
      <c r="AB18"/>
      <c r="AC18"/>
      <c r="AD18"/>
      <c r="AE18"/>
      <c r="AF18"/>
      <c r="AG18"/>
      <c r="AH18"/>
    </row>
    <row r="19" spans="2:34" x14ac:dyDescent="0.45">
      <c r="AA19"/>
      <c r="AB19"/>
      <c r="AC19"/>
      <c r="AD19"/>
      <c r="AE19"/>
      <c r="AF19"/>
      <c r="AG19"/>
      <c r="AH19"/>
    </row>
    <row r="20" spans="2:34" x14ac:dyDescent="0.45">
      <c r="C20" s="39"/>
      <c r="D20" s="39"/>
      <c r="E20" s="39"/>
      <c r="F20" s="39"/>
      <c r="G20" s="39"/>
      <c r="H20" s="39"/>
    </row>
    <row r="21" spans="2:34" ht="15" customHeight="1" x14ac:dyDescent="0.45">
      <c r="J21"/>
      <c r="K21"/>
      <c r="L21"/>
      <c r="M21"/>
      <c r="N21"/>
      <c r="O21"/>
      <c r="P21"/>
    </row>
    <row r="22" spans="2:34" ht="15.75" customHeight="1" x14ac:dyDescent="0.45">
      <c r="J22"/>
      <c r="K22"/>
      <c r="L22"/>
      <c r="M22"/>
      <c r="N22"/>
      <c r="O22"/>
      <c r="P22"/>
    </row>
    <row r="23" spans="2:34" ht="36" customHeight="1" x14ac:dyDescent="0.45">
      <c r="J23"/>
      <c r="K23"/>
      <c r="L23"/>
      <c r="M23"/>
      <c r="N23"/>
      <c r="O23"/>
      <c r="P23"/>
    </row>
    <row r="24" spans="2:34" ht="44.25" customHeight="1" x14ac:dyDescent="0.45">
      <c r="J24"/>
      <c r="K24"/>
      <c r="L24"/>
      <c r="M24"/>
      <c r="N24"/>
      <c r="O24"/>
      <c r="P24"/>
      <c r="R24" s="116"/>
      <c r="S24" s="116"/>
      <c r="T24" s="116"/>
    </row>
    <row r="25" spans="2:34" ht="15.75" customHeight="1" x14ac:dyDescent="0.45">
      <c r="J25"/>
      <c r="K25"/>
      <c r="L25"/>
      <c r="M25"/>
      <c r="N25"/>
      <c r="O25"/>
      <c r="P25"/>
      <c r="R25" s="116"/>
      <c r="S25" s="116"/>
      <c r="T25" s="116"/>
    </row>
    <row r="26" spans="2:34" ht="15.75" customHeight="1" x14ac:dyDescent="0.45">
      <c r="J26"/>
      <c r="K26"/>
      <c r="L26"/>
      <c r="M26"/>
      <c r="N26"/>
      <c r="O26"/>
      <c r="P26"/>
      <c r="R26" s="116"/>
      <c r="S26" s="116"/>
      <c r="T26" s="116"/>
    </row>
    <row r="27" spans="2:34" ht="15.75" customHeight="1" x14ac:dyDescent="0.45">
      <c r="J27"/>
      <c r="K27"/>
      <c r="L27"/>
      <c r="M27"/>
      <c r="N27"/>
      <c r="O27"/>
      <c r="P27"/>
      <c r="R27" s="116"/>
      <c r="S27" s="116"/>
      <c r="T27" s="116"/>
    </row>
    <row r="28" spans="2:34" ht="42" customHeight="1" x14ac:dyDescent="0.45">
      <c r="R28" s="116"/>
      <c r="S28" s="116"/>
      <c r="T28" s="116"/>
    </row>
    <row r="29" spans="2:34" ht="15.75" customHeight="1" x14ac:dyDescent="0.45">
      <c r="G29"/>
      <c r="H29"/>
      <c r="I29"/>
      <c r="J29"/>
      <c r="K29"/>
      <c r="L29"/>
      <c r="M29"/>
      <c r="N29"/>
      <c r="O29"/>
      <c r="P29"/>
      <c r="R29" s="116"/>
      <c r="S29" s="116"/>
      <c r="T29" s="116"/>
    </row>
    <row r="30" spans="2:34" ht="15.75" customHeight="1" x14ac:dyDescent="0.45">
      <c r="G30" s="96"/>
      <c r="H30" s="96"/>
      <c r="I30" s="96"/>
      <c r="J30" s="96"/>
      <c r="K30" s="96"/>
      <c r="L30" s="96"/>
      <c r="M30" s="96"/>
      <c r="N30" s="96"/>
      <c r="O30" s="96"/>
      <c r="P30" s="96"/>
      <c r="R30" s="116"/>
      <c r="S30" s="116"/>
      <c r="T30" s="116"/>
    </row>
    <row r="31" spans="2:34" ht="15.75" customHeight="1" x14ac:dyDescent="0.45">
      <c r="G31" s="96"/>
      <c r="H31" s="96"/>
      <c r="I31" s="96"/>
      <c r="J31" s="96"/>
      <c r="K31" s="96"/>
      <c r="L31" s="96"/>
      <c r="M31" s="96"/>
      <c r="N31" s="96"/>
      <c r="O31" s="96"/>
      <c r="P31" s="96"/>
      <c r="R31" s="116"/>
      <c r="S31" s="116"/>
      <c r="T31" s="116"/>
    </row>
    <row r="32" spans="2:34" ht="15.75" customHeight="1" x14ac:dyDescent="0.45">
      <c r="G32" s="96"/>
      <c r="H32" s="96"/>
      <c r="I32" s="96"/>
      <c r="J32" s="96"/>
      <c r="K32" s="96"/>
      <c r="L32" s="96"/>
      <c r="M32" s="96"/>
      <c r="N32" s="96"/>
      <c r="O32" s="96"/>
      <c r="P32" s="96"/>
      <c r="Q32" s="116"/>
      <c r="R32" s="116"/>
      <c r="S32" s="116"/>
      <c r="T32" s="116"/>
    </row>
    <row r="33" spans="2:20" ht="15" customHeight="1" x14ac:dyDescent="0.45">
      <c r="G33" s="96"/>
      <c r="H33" s="96"/>
      <c r="I33" s="96"/>
      <c r="J33" s="96"/>
      <c r="K33" s="96"/>
      <c r="L33" s="96"/>
      <c r="M33" s="96"/>
      <c r="N33" s="96"/>
      <c r="O33" s="96"/>
      <c r="P33" s="96"/>
      <c r="Q33" s="116"/>
      <c r="R33" s="116"/>
      <c r="S33" s="116"/>
      <c r="T33" s="116"/>
    </row>
    <row r="34" spans="2:20" ht="15" customHeight="1" x14ac:dyDescent="0.45">
      <c r="G34" s="96"/>
      <c r="H34" s="96"/>
      <c r="I34" s="96"/>
      <c r="J34" s="96"/>
      <c r="K34" s="96"/>
      <c r="L34" s="96"/>
      <c r="M34" s="96"/>
      <c r="N34" s="96"/>
      <c r="O34" s="96"/>
      <c r="P34" s="96"/>
      <c r="Q34" s="116"/>
      <c r="R34" s="116"/>
      <c r="S34" s="116"/>
      <c r="T34" s="116"/>
    </row>
    <row r="35" spans="2:20" ht="15" customHeight="1" x14ac:dyDescent="0.45">
      <c r="K35" s="116"/>
      <c r="L35" s="116"/>
      <c r="M35" s="116"/>
      <c r="N35" s="116"/>
      <c r="O35" s="116"/>
      <c r="P35" s="116"/>
      <c r="Q35" s="116"/>
      <c r="R35" s="116"/>
      <c r="S35" s="116"/>
      <c r="T35" s="116"/>
    </row>
    <row r="36" spans="2:20" ht="15" customHeight="1" x14ac:dyDescent="0.45">
      <c r="K36" s="116"/>
      <c r="L36" s="116"/>
      <c r="M36" s="116"/>
      <c r="N36" s="116"/>
      <c r="O36" s="116"/>
      <c r="P36" s="116"/>
      <c r="Q36" s="116"/>
      <c r="R36" s="116"/>
      <c r="S36" s="116"/>
      <c r="T36" s="116"/>
    </row>
    <row r="37" spans="2:20" ht="15" customHeight="1" x14ac:dyDescent="0.45">
      <c r="K37" s="116"/>
      <c r="L37" s="116"/>
      <c r="M37" s="116"/>
      <c r="N37" s="116"/>
      <c r="O37" s="116"/>
      <c r="P37" s="116"/>
      <c r="Q37" s="116"/>
      <c r="R37" s="116"/>
      <c r="S37" s="116"/>
      <c r="T37" s="116"/>
    </row>
    <row r="38" spans="2:20" ht="15" customHeight="1" x14ac:dyDescent="0.45">
      <c r="K38" s="116"/>
      <c r="L38" s="116"/>
      <c r="M38" s="116"/>
      <c r="N38" s="116"/>
      <c r="O38" s="116"/>
      <c r="P38" s="116"/>
      <c r="Q38" s="116"/>
      <c r="R38" s="116"/>
      <c r="S38" s="116"/>
      <c r="T38" s="116"/>
    </row>
    <row r="39" spans="2:20" ht="15" customHeight="1" thickBot="1" x14ac:dyDescent="0.5">
      <c r="K39" s="116"/>
      <c r="L39" s="116"/>
      <c r="M39" s="116"/>
      <c r="N39" s="116"/>
      <c r="O39" s="116"/>
      <c r="P39" s="116"/>
      <c r="Q39" s="116"/>
      <c r="R39" s="116"/>
      <c r="S39" s="116"/>
      <c r="T39" s="116"/>
    </row>
    <row r="40" spans="2:20" ht="15" customHeight="1" x14ac:dyDescent="0.45">
      <c r="B40" s="247" t="s">
        <v>108</v>
      </c>
      <c r="C40" s="248"/>
      <c r="D40" s="248"/>
      <c r="E40" s="248"/>
      <c r="F40" s="248"/>
      <c r="G40" s="248"/>
      <c r="H40" s="248"/>
      <c r="I40" s="248"/>
      <c r="J40" s="248"/>
      <c r="K40" s="249"/>
    </row>
    <row r="41" spans="2:20" ht="15" customHeight="1" x14ac:dyDescent="0.45">
      <c r="B41" s="250"/>
      <c r="C41" s="251"/>
      <c r="D41" s="251"/>
      <c r="E41" s="251"/>
      <c r="F41" s="251"/>
      <c r="G41" s="251"/>
      <c r="H41" s="251"/>
      <c r="I41" s="251"/>
      <c r="J41" s="251"/>
      <c r="K41" s="252"/>
    </row>
    <row r="42" spans="2:20" ht="15" customHeight="1" thickBot="1" x14ac:dyDescent="0.5">
      <c r="B42" s="253"/>
      <c r="C42" s="254"/>
      <c r="D42" s="254"/>
      <c r="E42" s="254"/>
      <c r="F42" s="254"/>
      <c r="G42" s="254"/>
      <c r="H42" s="254"/>
      <c r="I42" s="254"/>
      <c r="J42" s="254"/>
      <c r="K42" s="255"/>
    </row>
    <row r="43" spans="2:20" ht="15" customHeight="1" x14ac:dyDescent="0.45">
      <c r="B43" s="256" t="str">
        <f>"Según se muestra en la tabla CONTEXTO DE LA ORGANIZACIÓN el porcentaje de implementación alcanzado es de "&amp;TEXT(B18,"0.00%")&amp;"."&amp;CHAR(10)&amp;CHAR(10)&amp;""</f>
        <v xml:space="preserve">Según se muestra en la tabla CONTEXTO DE LA ORGANIZACIÓN el porcentaje de implementación alcanzado es de 0.00%.
</v>
      </c>
      <c r="C43" s="257"/>
      <c r="D43" s="257"/>
      <c r="E43" s="257"/>
      <c r="F43" s="257"/>
      <c r="G43" s="257"/>
      <c r="H43" s="257"/>
      <c r="I43" s="257"/>
      <c r="J43" s="257"/>
      <c r="K43" s="258"/>
    </row>
    <row r="44" spans="2:20" ht="66.75" customHeight="1" thickBot="1" x14ac:dyDescent="0.5">
      <c r="B44" s="242" t="s">
        <v>193</v>
      </c>
      <c r="C44" s="243"/>
      <c r="D44" s="243"/>
      <c r="E44" s="243"/>
      <c r="F44" s="243"/>
      <c r="G44" s="243"/>
      <c r="H44" s="243"/>
      <c r="I44" s="243"/>
      <c r="J44" s="243"/>
      <c r="K44" s="244"/>
    </row>
    <row r="45" spans="2:20" ht="15" x14ac:dyDescent="0.45">
      <c r="B45" s="122"/>
      <c r="C45" s="122"/>
      <c r="D45" s="122"/>
      <c r="E45" s="122"/>
      <c r="F45" s="122"/>
    </row>
    <row r="46" spans="2:20" ht="15" x14ac:dyDescent="0.45">
      <c r="B46" s="122"/>
      <c r="C46" s="122"/>
      <c r="D46" s="122"/>
      <c r="E46" s="122"/>
      <c r="F46" s="122"/>
    </row>
    <row r="47" spans="2:20" ht="15" x14ac:dyDescent="0.45">
      <c r="B47" s="122"/>
      <c r="C47" s="122"/>
      <c r="D47" s="122"/>
      <c r="E47" s="122"/>
      <c r="F47" s="122"/>
    </row>
    <row r="48" spans="2:20" ht="15" x14ac:dyDescent="0.45">
      <c r="B48" s="122"/>
      <c r="C48" s="122"/>
      <c r="D48" s="122"/>
      <c r="E48" s="122"/>
      <c r="F48" s="122"/>
    </row>
  </sheetData>
  <mergeCells count="9">
    <mergeCell ref="B44:K44"/>
    <mergeCell ref="B18:I18"/>
    <mergeCell ref="B9:I9"/>
    <mergeCell ref="B17:I17"/>
    <mergeCell ref="B3:K4"/>
    <mergeCell ref="F5:K6"/>
    <mergeCell ref="B5:E6"/>
    <mergeCell ref="B40:K42"/>
    <mergeCell ref="B43:K43"/>
  </mergeCells>
  <pageMargins left="0.7" right="0.7" top="0.75" bottom="0.75" header="0.3" footer="0.3"/>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AF47"/>
  <sheetViews>
    <sheetView zoomScale="80" zoomScaleNormal="80" workbookViewId="0">
      <selection activeCell="B43" sqref="B43:J47"/>
    </sheetView>
  </sheetViews>
  <sheetFormatPr baseColWidth="10" defaultColWidth="11.3984375" defaultRowHeight="14.25" x14ac:dyDescent="0.45"/>
  <cols>
    <col min="1" max="1" width="11.86328125" style="37" customWidth="1"/>
    <col min="2" max="2" width="60.3984375" style="37" customWidth="1"/>
    <col min="3" max="9" width="11.59765625" style="37" customWidth="1"/>
    <col min="10" max="10" width="11.3984375" style="37" customWidth="1"/>
    <col min="11" max="16384" width="11.3984375" style="37"/>
  </cols>
  <sheetData>
    <row r="2" spans="2:32" ht="14.65" thickBot="1" x14ac:dyDescent="0.5"/>
    <row r="3" spans="2:32" ht="15" customHeight="1" x14ac:dyDescent="0.45">
      <c r="B3" s="215" t="s">
        <v>35</v>
      </c>
      <c r="C3" s="216"/>
      <c r="D3" s="216"/>
      <c r="E3" s="216"/>
      <c r="F3" s="216"/>
      <c r="G3" s="216"/>
      <c r="H3" s="216"/>
      <c r="I3" s="216"/>
      <c r="J3" s="217"/>
      <c r="K3"/>
      <c r="L3"/>
      <c r="M3"/>
      <c r="N3"/>
      <c r="O3"/>
      <c r="P3"/>
    </row>
    <row r="4" spans="2:32" ht="15.75" customHeight="1" thickBot="1" x14ac:dyDescent="0.5">
      <c r="B4" s="218"/>
      <c r="C4" s="219"/>
      <c r="D4" s="219"/>
      <c r="E4" s="219"/>
      <c r="F4" s="219"/>
      <c r="G4" s="219"/>
      <c r="H4" s="219"/>
      <c r="I4" s="219"/>
      <c r="J4" s="220"/>
      <c r="K4"/>
      <c r="L4"/>
      <c r="M4"/>
      <c r="N4"/>
      <c r="O4"/>
      <c r="P4"/>
    </row>
    <row r="5" spans="2:32" ht="15" customHeight="1" x14ac:dyDescent="0.45">
      <c r="B5" s="245" t="s">
        <v>105</v>
      </c>
      <c r="C5" s="246"/>
      <c r="D5" s="246"/>
      <c r="E5" s="221" t="str">
        <f>IF(M9&lt;=24%,"INICIAL",IF(M9&lt;=49%,"NOVATO",IF(M9&lt;=74%,"COMPETENTE",IF(M9&lt;=99%,"AVANZADO","EXPERTO"))))</f>
        <v>INICIAL</v>
      </c>
      <c r="F5" s="222"/>
      <c r="G5" s="222"/>
      <c r="H5" s="222"/>
      <c r="I5" s="222"/>
      <c r="J5" s="223"/>
      <c r="K5"/>
      <c r="L5"/>
      <c r="M5"/>
      <c r="N5"/>
      <c r="O5"/>
      <c r="P5"/>
    </row>
    <row r="6" spans="2:32" ht="15.75" customHeight="1" thickBot="1" x14ac:dyDescent="0.5">
      <c r="B6" s="224"/>
      <c r="C6" s="225"/>
      <c r="D6" s="225"/>
      <c r="E6" s="224"/>
      <c r="F6" s="225"/>
      <c r="G6" s="225"/>
      <c r="H6" s="225"/>
      <c r="I6" s="225"/>
      <c r="J6" s="226"/>
      <c r="K6"/>
      <c r="L6"/>
      <c r="M6"/>
      <c r="N6"/>
      <c r="O6"/>
      <c r="P6"/>
    </row>
    <row r="7" spans="2:32" x14ac:dyDescent="0.45">
      <c r="B7" s="36"/>
      <c r="C7" s="36"/>
      <c r="D7" s="36"/>
      <c r="E7" s="36"/>
      <c r="F7" s="36"/>
      <c r="G7" s="36"/>
      <c r="H7" s="36"/>
      <c r="I7" s="36"/>
      <c r="J7" s="36"/>
      <c r="K7" s="36"/>
      <c r="L7" s="36"/>
      <c r="M7" s="36"/>
      <c r="N7" s="36"/>
      <c r="O7" s="36"/>
      <c r="P7" s="36"/>
    </row>
    <row r="8" spans="2:32" ht="15.75" customHeight="1" thickBot="1" x14ac:dyDescent="0.5">
      <c r="AA8"/>
      <c r="AB8"/>
      <c r="AC8"/>
      <c r="AD8"/>
      <c r="AE8"/>
      <c r="AF8"/>
    </row>
    <row r="9" spans="2:32" ht="15.75" customHeight="1" thickBot="1" x14ac:dyDescent="0.5">
      <c r="B9" s="208" t="s">
        <v>45</v>
      </c>
      <c r="C9" s="209"/>
      <c r="D9" s="209"/>
      <c r="E9" s="209"/>
      <c r="F9" s="209"/>
      <c r="G9" s="209"/>
      <c r="H9" s="209"/>
      <c r="I9" s="210"/>
      <c r="AA9"/>
      <c r="AB9"/>
      <c r="AC9"/>
      <c r="AD9"/>
      <c r="AE9"/>
      <c r="AF9"/>
    </row>
    <row r="10" spans="2:32" ht="27.75" customHeight="1" thickBot="1" x14ac:dyDescent="0.5">
      <c r="B10" s="98"/>
      <c r="C10" s="123" t="s">
        <v>74</v>
      </c>
      <c r="D10" s="124" t="s">
        <v>75</v>
      </c>
      <c r="E10" s="124" t="s">
        <v>76</v>
      </c>
      <c r="F10" s="125" t="s">
        <v>77</v>
      </c>
      <c r="G10" s="124" t="s">
        <v>78</v>
      </c>
      <c r="H10" s="126" t="s">
        <v>9</v>
      </c>
      <c r="I10" s="99"/>
      <c r="AA10"/>
      <c r="AB10"/>
      <c r="AC10"/>
      <c r="AD10"/>
      <c r="AE10"/>
      <c r="AF10"/>
    </row>
    <row r="11" spans="2:32" ht="15.75" customHeight="1" thickBot="1" x14ac:dyDescent="0.5">
      <c r="B11" s="86" t="s">
        <v>38</v>
      </c>
      <c r="C11" s="86">
        <v>0</v>
      </c>
      <c r="D11" s="86">
        <v>0.25</v>
      </c>
      <c r="E11" s="86">
        <v>0.5</v>
      </c>
      <c r="F11" s="86">
        <v>0.75</v>
      </c>
      <c r="G11" s="86">
        <v>1</v>
      </c>
      <c r="H11" s="87" t="s">
        <v>8</v>
      </c>
      <c r="I11" s="88" t="s">
        <v>39</v>
      </c>
      <c r="AA11"/>
      <c r="AB11"/>
      <c r="AC11"/>
      <c r="AD11"/>
      <c r="AE11"/>
      <c r="AF11"/>
    </row>
    <row r="12" spans="2:32" x14ac:dyDescent="0.45">
      <c r="B12" s="117" t="s">
        <v>19</v>
      </c>
      <c r="C12" s="109">
        <f>COUNTIF(REQUISITOS!B34:B36,"X")</f>
        <v>0</v>
      </c>
      <c r="D12" s="109">
        <f>COUNTIF(REQUISITOS!C34:C36,"X")</f>
        <v>0</v>
      </c>
      <c r="E12" s="109">
        <f>COUNTIF(REQUISITOS!D34:D36,"X")</f>
        <v>0</v>
      </c>
      <c r="F12" s="109">
        <f>COUNTIF(REQUISITOS!E34:E36,"X")</f>
        <v>0</v>
      </c>
      <c r="G12" s="109">
        <f>COUNTIF(REQUISITOS!F34:F36,"X")</f>
        <v>0</v>
      </c>
      <c r="H12" s="109">
        <f>COUNTIF(REQUISITOS!G34:G36,"X")</f>
        <v>0</v>
      </c>
      <c r="I12" s="114">
        <f>SUM(C12:H12)</f>
        <v>0</v>
      </c>
      <c r="AA12"/>
      <c r="AB12"/>
      <c r="AC12"/>
      <c r="AD12"/>
      <c r="AE12"/>
      <c r="AF12"/>
    </row>
    <row r="13" spans="2:32" x14ac:dyDescent="0.45">
      <c r="B13" s="101" t="s">
        <v>133</v>
      </c>
      <c r="C13" s="106">
        <f>COUNTIF(REQUISITOS!B39:B42,"X")</f>
        <v>0</v>
      </c>
      <c r="D13" s="106">
        <f>COUNTIF(REQUISITOS!C39:C42,"X")</f>
        <v>0</v>
      </c>
      <c r="E13" s="106">
        <f>COUNTIF(REQUISITOS!D39:D42,"X")</f>
        <v>0</v>
      </c>
      <c r="F13" s="106">
        <f>COUNTIF(REQUISITOS!E39:E42,"X")</f>
        <v>0</v>
      </c>
      <c r="G13" s="106">
        <f>COUNTIF(REQUISITOS!F39:F42,"X")</f>
        <v>0</v>
      </c>
      <c r="H13" s="106">
        <f>COUNTIF(REQUISITOS!G39:G42,"X")</f>
        <v>0</v>
      </c>
      <c r="I13" s="115">
        <f>SUM(C13:H13)</f>
        <v>0</v>
      </c>
      <c r="AA13"/>
      <c r="AB13"/>
      <c r="AC13"/>
      <c r="AD13"/>
      <c r="AE13"/>
      <c r="AF13"/>
    </row>
    <row r="14" spans="2:32" ht="14.65" thickBot="1" x14ac:dyDescent="0.5">
      <c r="B14" s="101" t="s">
        <v>138</v>
      </c>
      <c r="C14" s="107">
        <f>COUNTIF(REQUISITOS!B45:B46,"X")</f>
        <v>0</v>
      </c>
      <c r="D14" s="107">
        <f>COUNTIF(REQUISITOS!C45:C46,"X")</f>
        <v>0</v>
      </c>
      <c r="E14" s="107">
        <f>COUNTIF(REQUISITOS!D45:D46,"X")</f>
        <v>0</v>
      </c>
      <c r="F14" s="107">
        <f>COUNTIF(REQUISITOS!E45:E46,"X")</f>
        <v>0</v>
      </c>
      <c r="G14" s="107">
        <f>COUNTIF(REQUISITOS!F45:F46,"X")</f>
        <v>0</v>
      </c>
      <c r="H14" s="107">
        <f>COUNTIF(REQUISITOS!G45:G46,"X")</f>
        <v>0</v>
      </c>
      <c r="I14" s="142">
        <f>SUM(C14:H14)</f>
        <v>0</v>
      </c>
      <c r="AA14"/>
      <c r="AB14"/>
      <c r="AC14"/>
      <c r="AD14"/>
      <c r="AE14"/>
      <c r="AF14"/>
    </row>
    <row r="15" spans="2:32" ht="15.75" customHeight="1" thickBot="1" x14ac:dyDescent="0.5">
      <c r="B15" s="89" t="s">
        <v>39</v>
      </c>
      <c r="C15" s="143">
        <f t="shared" ref="C15:H15" si="0">SUM(C12:C14)</f>
        <v>0</v>
      </c>
      <c r="D15" s="143">
        <f t="shared" si="0"/>
        <v>0</v>
      </c>
      <c r="E15" s="130">
        <f t="shared" si="0"/>
        <v>0</v>
      </c>
      <c r="F15" s="144">
        <f t="shared" si="0"/>
        <v>0</v>
      </c>
      <c r="G15" s="130">
        <f t="shared" si="0"/>
        <v>0</v>
      </c>
      <c r="H15" s="144">
        <f t="shared" si="0"/>
        <v>0</v>
      </c>
      <c r="I15" s="130">
        <f>SUM(I12:I14)-H15</f>
        <v>0</v>
      </c>
      <c r="AA15"/>
      <c r="AB15"/>
      <c r="AC15"/>
      <c r="AD15"/>
      <c r="AE15"/>
      <c r="AF15"/>
    </row>
    <row r="16" spans="2:32" ht="15.75" customHeight="1" thickBot="1" x14ac:dyDescent="0.5">
      <c r="B16" s="211" t="s">
        <v>80</v>
      </c>
      <c r="C16" s="212"/>
      <c r="D16" s="212"/>
      <c r="E16" s="212"/>
      <c r="F16" s="212"/>
      <c r="G16" s="212"/>
      <c r="H16" s="212"/>
      <c r="I16" s="213"/>
      <c r="AA16"/>
      <c r="AB16"/>
      <c r="AC16"/>
      <c r="AD16"/>
      <c r="AE16"/>
      <c r="AF16"/>
    </row>
    <row r="17" spans="2:32" ht="15.75" customHeight="1" thickBot="1" x14ac:dyDescent="0.5">
      <c r="B17" s="206">
        <f>IF(I15=0,0,(C15*C11+D15*D11+E15*E11+F15*F11+G15*G11)/I15)</f>
        <v>0</v>
      </c>
      <c r="C17" s="207"/>
      <c r="D17" s="207"/>
      <c r="E17" s="207"/>
      <c r="F17" s="207"/>
      <c r="G17" s="207"/>
      <c r="H17" s="207"/>
      <c r="I17" s="187"/>
      <c r="AA17"/>
      <c r="AB17"/>
      <c r="AC17"/>
      <c r="AD17"/>
      <c r="AE17"/>
      <c r="AF17"/>
    </row>
    <row r="18" spans="2:32" x14ac:dyDescent="0.45">
      <c r="AA18"/>
      <c r="AB18"/>
      <c r="AC18"/>
      <c r="AD18"/>
      <c r="AE18"/>
      <c r="AF18"/>
    </row>
    <row r="19" spans="2:32" x14ac:dyDescent="0.45">
      <c r="AA19"/>
      <c r="AB19"/>
      <c r="AC19"/>
      <c r="AD19"/>
      <c r="AE19"/>
      <c r="AF19"/>
    </row>
    <row r="26" spans="2:32" ht="15.75" customHeight="1" x14ac:dyDescent="0.45">
      <c r="J26" s="33"/>
      <c r="K26" s="33"/>
      <c r="L26" s="33"/>
      <c r="M26" s="33"/>
      <c r="N26" s="33"/>
      <c r="O26" s="33"/>
    </row>
    <row r="27" spans="2:32" ht="15.75" customHeight="1" x14ac:dyDescent="0.45">
      <c r="J27" s="33"/>
      <c r="K27" s="33"/>
      <c r="L27" s="33"/>
      <c r="M27" s="33"/>
      <c r="N27" s="33"/>
      <c r="O27" s="33"/>
    </row>
    <row r="28" spans="2:32" ht="15" customHeight="1" x14ac:dyDescent="0.45"/>
    <row r="29" spans="2:32" ht="15" customHeight="1" x14ac:dyDescent="0.45"/>
    <row r="30" spans="2:32" ht="15" customHeight="1" x14ac:dyDescent="0.45"/>
    <row r="31" spans="2:32" ht="15" customHeight="1" x14ac:dyDescent="0.45"/>
    <row r="32" spans="2:32" ht="15" customHeight="1" x14ac:dyDescent="0.45"/>
    <row r="33" spans="2:11" ht="15" customHeight="1" x14ac:dyDescent="0.45"/>
    <row r="34" spans="2:11" ht="15" customHeight="1" x14ac:dyDescent="0.45"/>
    <row r="35" spans="2:11" ht="15" customHeight="1" x14ac:dyDescent="0.45"/>
    <row r="36" spans="2:11" ht="15" customHeight="1" x14ac:dyDescent="0.45"/>
    <row r="37" spans="2:11" ht="15" customHeight="1" x14ac:dyDescent="0.45">
      <c r="K37"/>
    </row>
    <row r="38" spans="2:11" ht="15" customHeight="1" thickBot="1" x14ac:dyDescent="0.5">
      <c r="K38"/>
    </row>
    <row r="39" spans="2:11" ht="15" customHeight="1" x14ac:dyDescent="0.45">
      <c r="B39" s="247" t="s">
        <v>108</v>
      </c>
      <c r="C39" s="268"/>
      <c r="D39" s="268"/>
      <c r="E39" s="268"/>
      <c r="F39" s="268"/>
      <c r="G39" s="268"/>
      <c r="H39" s="268"/>
      <c r="I39" s="268"/>
      <c r="J39" s="269"/>
      <c r="K39"/>
    </row>
    <row r="40" spans="2:11" ht="15" customHeight="1" x14ac:dyDescent="0.45">
      <c r="B40" s="270"/>
      <c r="C40" s="271"/>
      <c r="D40" s="271"/>
      <c r="E40" s="271"/>
      <c r="F40" s="271"/>
      <c r="G40" s="271"/>
      <c r="H40" s="271"/>
      <c r="I40" s="271"/>
      <c r="J40" s="272"/>
      <c r="K40"/>
    </row>
    <row r="41" spans="2:11" ht="15" customHeight="1" thickBot="1" x14ac:dyDescent="0.5">
      <c r="B41" s="273"/>
      <c r="C41" s="274"/>
      <c r="D41" s="274"/>
      <c r="E41" s="274"/>
      <c r="F41" s="274"/>
      <c r="G41" s="274"/>
      <c r="H41" s="274"/>
      <c r="I41" s="274"/>
      <c r="J41" s="275"/>
      <c r="K41"/>
    </row>
    <row r="42" spans="2:11" ht="15" customHeight="1" x14ac:dyDescent="0.45">
      <c r="B42" s="265" t="str">
        <f>"Según se muestra en la tabla LIDERAZGO el porcentaje de implementación alcanzado es de "&amp;TEXT(B17,"0.00%")&amp;""</f>
        <v>Según se muestra en la tabla LIDERAZGO el porcentaje de implementación alcanzado es de 0.00%</v>
      </c>
      <c r="C42" s="266"/>
      <c r="D42" s="266"/>
      <c r="E42" s="266"/>
      <c r="F42" s="266"/>
      <c r="G42" s="266"/>
      <c r="H42" s="266"/>
      <c r="I42" s="266"/>
      <c r="J42" s="267"/>
      <c r="K42"/>
    </row>
    <row r="43" spans="2:11" ht="15" customHeight="1" x14ac:dyDescent="0.45">
      <c r="B43" s="259" t="s">
        <v>194</v>
      </c>
      <c r="C43" s="260"/>
      <c r="D43" s="260"/>
      <c r="E43" s="260"/>
      <c r="F43" s="260"/>
      <c r="G43" s="260"/>
      <c r="H43" s="260"/>
      <c r="I43" s="260"/>
      <c r="J43" s="261"/>
    </row>
    <row r="44" spans="2:11" x14ac:dyDescent="0.45">
      <c r="B44" s="259"/>
      <c r="C44" s="260"/>
      <c r="D44" s="260"/>
      <c r="E44" s="260"/>
      <c r="F44" s="260"/>
      <c r="G44" s="260"/>
      <c r="H44" s="260"/>
      <c r="I44" s="260"/>
      <c r="J44" s="261"/>
    </row>
    <row r="45" spans="2:11" x14ac:dyDescent="0.45">
      <c r="B45" s="259"/>
      <c r="C45" s="260"/>
      <c r="D45" s="260"/>
      <c r="E45" s="260"/>
      <c r="F45" s="260"/>
      <c r="G45" s="260"/>
      <c r="H45" s="260"/>
      <c r="I45" s="260"/>
      <c r="J45" s="261"/>
    </row>
    <row r="46" spans="2:11" x14ac:dyDescent="0.45">
      <c r="B46" s="259"/>
      <c r="C46" s="260"/>
      <c r="D46" s="260"/>
      <c r="E46" s="260"/>
      <c r="F46" s="260"/>
      <c r="G46" s="260"/>
      <c r="H46" s="260"/>
      <c r="I46" s="260"/>
      <c r="J46" s="261"/>
    </row>
    <row r="47" spans="2:11" ht="14.65" thickBot="1" x14ac:dyDescent="0.5">
      <c r="B47" s="262"/>
      <c r="C47" s="263"/>
      <c r="D47" s="263"/>
      <c r="E47" s="263"/>
      <c r="F47" s="263"/>
      <c r="G47" s="263"/>
      <c r="H47" s="263"/>
      <c r="I47" s="263"/>
      <c r="J47" s="264"/>
    </row>
  </sheetData>
  <mergeCells count="9">
    <mergeCell ref="B43:J47"/>
    <mergeCell ref="B42:J42"/>
    <mergeCell ref="B3:J4"/>
    <mergeCell ref="B5:D6"/>
    <mergeCell ref="E5:J6"/>
    <mergeCell ref="B39:J41"/>
    <mergeCell ref="B9:I9"/>
    <mergeCell ref="B16:I16"/>
    <mergeCell ref="B17:I17"/>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AG51"/>
  <sheetViews>
    <sheetView topLeftCell="A10" zoomScale="70" zoomScaleNormal="70" workbookViewId="0">
      <selection activeCell="B46" sqref="B46:M49"/>
    </sheetView>
  </sheetViews>
  <sheetFormatPr baseColWidth="10" defaultColWidth="11.3984375" defaultRowHeight="14.25" x14ac:dyDescent="0.45"/>
  <cols>
    <col min="1" max="1" width="11.3984375" style="37" customWidth="1"/>
    <col min="2" max="2" width="55.3984375" style="37" customWidth="1"/>
    <col min="3" max="9" width="11.59765625" style="37" customWidth="1"/>
    <col min="10" max="10" width="11.3984375" style="37" customWidth="1"/>
    <col min="11" max="16384" width="11.3984375" style="37"/>
  </cols>
  <sheetData>
    <row r="2" spans="2:33" ht="14.65" thickBot="1" x14ac:dyDescent="0.5"/>
    <row r="3" spans="2:33" ht="15" customHeight="1" x14ac:dyDescent="0.45">
      <c r="B3" s="215" t="s">
        <v>35</v>
      </c>
      <c r="C3" s="216"/>
      <c r="D3" s="216"/>
      <c r="E3" s="216"/>
      <c r="F3" s="216"/>
      <c r="G3" s="216"/>
      <c r="H3" s="216"/>
      <c r="I3" s="216"/>
      <c r="J3" s="216"/>
      <c r="K3" s="216"/>
      <c r="L3" s="216"/>
      <c r="M3" s="217"/>
      <c r="N3"/>
      <c r="O3"/>
      <c r="P3"/>
    </row>
    <row r="4" spans="2:33" ht="15.75" customHeight="1" thickBot="1" x14ac:dyDescent="0.5">
      <c r="B4" s="218"/>
      <c r="C4" s="219"/>
      <c r="D4" s="219"/>
      <c r="E4" s="219"/>
      <c r="F4" s="219"/>
      <c r="G4" s="219"/>
      <c r="H4" s="219"/>
      <c r="I4" s="219"/>
      <c r="J4" s="219"/>
      <c r="K4" s="219"/>
      <c r="L4" s="219"/>
      <c r="M4" s="220"/>
      <c r="N4"/>
      <c r="O4"/>
      <c r="P4"/>
    </row>
    <row r="5" spans="2:33" ht="15" customHeight="1" x14ac:dyDescent="0.45">
      <c r="B5" s="221" t="s">
        <v>105</v>
      </c>
      <c r="C5" s="222"/>
      <c r="D5" s="222"/>
      <c r="E5" s="222"/>
      <c r="F5" s="221" t="str">
        <f>IF(M9&lt;=24%,"INICIAL",IF(M9&lt;=49%,"NOVATO",IF(M9&lt;=74%,"COMPETENTE",IF(M9&lt;=99%,"AVANZADO","EXPERTO"))))</f>
        <v>INICIAL</v>
      </c>
      <c r="G5" s="222"/>
      <c r="H5" s="222"/>
      <c r="I5" s="222"/>
      <c r="J5" s="222"/>
      <c r="K5" s="222"/>
      <c r="L5" s="222"/>
      <c r="M5" s="223"/>
      <c r="N5"/>
      <c r="O5"/>
      <c r="P5"/>
    </row>
    <row r="6" spans="2:33" ht="15.75" customHeight="1" thickBot="1" x14ac:dyDescent="0.5">
      <c r="B6" s="224"/>
      <c r="C6" s="225"/>
      <c r="D6" s="225"/>
      <c r="E6" s="225"/>
      <c r="F6" s="224"/>
      <c r="G6" s="225"/>
      <c r="H6" s="225"/>
      <c r="I6" s="225"/>
      <c r="J6" s="225"/>
      <c r="K6" s="225"/>
      <c r="L6" s="225"/>
      <c r="M6" s="226"/>
      <c r="N6"/>
      <c r="O6"/>
      <c r="P6"/>
    </row>
    <row r="8" spans="2:33" ht="15.75" customHeight="1" thickBot="1" x14ac:dyDescent="0.5"/>
    <row r="9" spans="2:33" ht="15.75" customHeight="1" thickBot="1" x14ac:dyDescent="0.5">
      <c r="B9" s="208" t="s">
        <v>49</v>
      </c>
      <c r="C9" s="209"/>
      <c r="D9" s="209"/>
      <c r="E9" s="209"/>
      <c r="F9" s="209"/>
      <c r="G9" s="209"/>
      <c r="H9" s="209"/>
      <c r="I9" s="210"/>
    </row>
    <row r="10" spans="2:33" ht="33" customHeight="1" thickBot="1" x14ac:dyDescent="0.5">
      <c r="B10" s="98"/>
      <c r="C10" s="123" t="s">
        <v>74</v>
      </c>
      <c r="D10" s="124" t="s">
        <v>75</v>
      </c>
      <c r="E10" s="124" t="s">
        <v>76</v>
      </c>
      <c r="F10" s="125" t="s">
        <v>77</v>
      </c>
      <c r="G10" s="124" t="s">
        <v>78</v>
      </c>
      <c r="H10" s="126" t="s">
        <v>9</v>
      </c>
      <c r="I10" s="99"/>
      <c r="AB10"/>
      <c r="AC10"/>
      <c r="AD10"/>
      <c r="AE10"/>
      <c r="AF10"/>
      <c r="AG10"/>
    </row>
    <row r="11" spans="2:33" ht="16.5" customHeight="1" thickBot="1" x14ac:dyDescent="0.5">
      <c r="B11" s="86" t="s">
        <v>38</v>
      </c>
      <c r="C11" s="86">
        <v>0</v>
      </c>
      <c r="D11" s="86">
        <v>0.25</v>
      </c>
      <c r="E11" s="86">
        <v>0.5</v>
      </c>
      <c r="F11" s="86">
        <v>0.75</v>
      </c>
      <c r="G11" s="86">
        <v>1</v>
      </c>
      <c r="H11" s="87" t="s">
        <v>8</v>
      </c>
      <c r="I11" s="88" t="s">
        <v>39</v>
      </c>
      <c r="AB11"/>
      <c r="AC11"/>
      <c r="AD11"/>
      <c r="AE11"/>
      <c r="AF11"/>
      <c r="AG11"/>
    </row>
    <row r="12" spans="2:33" s="63" customFormat="1" ht="27" customHeight="1" x14ac:dyDescent="0.45">
      <c r="B12" s="100" t="s">
        <v>21</v>
      </c>
      <c r="C12" s="109">
        <f>COUNTIF(REQUISITOS!B50:B54,"X")</f>
        <v>0</v>
      </c>
      <c r="D12" s="109">
        <f>COUNTIF(REQUISITOS!C50:C54,"X")</f>
        <v>0</v>
      </c>
      <c r="E12" s="109">
        <f>COUNTIF(REQUISITOS!D50:D54,"X")</f>
        <v>0</v>
      </c>
      <c r="F12" s="109">
        <f>COUNTIF(REQUISITOS!E50:E54,"X")</f>
        <v>0</v>
      </c>
      <c r="G12" s="109">
        <f>COUNTIF(REQUISITOS!F50:F54,"X")</f>
        <v>0</v>
      </c>
      <c r="H12" s="109">
        <f>COUNTIF(REQUISITOS!G50:G54,"X")</f>
        <v>0</v>
      </c>
      <c r="I12" s="145">
        <f>SUM(C12:H12)</f>
        <v>0</v>
      </c>
      <c r="AB12"/>
      <c r="AC12"/>
      <c r="AD12"/>
      <c r="AE12"/>
      <c r="AF12"/>
      <c r="AG12"/>
    </row>
    <row r="13" spans="2:33" s="63" customFormat="1" ht="27" customHeight="1" thickBot="1" x14ac:dyDescent="0.5">
      <c r="B13" s="101" t="s">
        <v>146</v>
      </c>
      <c r="C13" s="108">
        <f>COUNTIF(REQUISITOS!B57:B60,"X")</f>
        <v>0</v>
      </c>
      <c r="D13" s="108">
        <f>COUNTIF(REQUISITOS!C57:C60,"X")</f>
        <v>0</v>
      </c>
      <c r="E13" s="108">
        <f>COUNTIF(REQUISITOS!D57:D60,"X")</f>
        <v>0</v>
      </c>
      <c r="F13" s="108">
        <f>COUNTIF(REQUISITOS!E57:E60,"X")</f>
        <v>0</v>
      </c>
      <c r="G13" s="108">
        <f>COUNTIF(REQUISITOS!F57:F60,"X")</f>
        <v>0</v>
      </c>
      <c r="H13" s="108">
        <f>COUNTIF(REQUISITOS!G57:G60,"X")</f>
        <v>0</v>
      </c>
      <c r="I13" s="142">
        <f>SUM(C13:H13)</f>
        <v>0</v>
      </c>
      <c r="AB13"/>
      <c r="AC13"/>
      <c r="AD13"/>
      <c r="AE13"/>
      <c r="AF13"/>
      <c r="AG13"/>
    </row>
    <row r="14" spans="2:33" ht="15.75" customHeight="1" thickBot="1" x14ac:dyDescent="0.5">
      <c r="B14" s="92" t="s">
        <v>39</v>
      </c>
      <c r="C14" s="127">
        <f t="shared" ref="C14:H14" si="0">SUM(C12:C13)</f>
        <v>0</v>
      </c>
      <c r="D14" s="127">
        <f t="shared" si="0"/>
        <v>0</v>
      </c>
      <c r="E14" s="127">
        <f t="shared" si="0"/>
        <v>0</v>
      </c>
      <c r="F14" s="127">
        <f t="shared" si="0"/>
        <v>0</v>
      </c>
      <c r="G14" s="127">
        <f t="shared" si="0"/>
        <v>0</v>
      </c>
      <c r="H14" s="127">
        <f t="shared" si="0"/>
        <v>0</v>
      </c>
      <c r="I14" s="93">
        <f>SUM(I12:I13)-H14</f>
        <v>0</v>
      </c>
      <c r="AB14"/>
      <c r="AC14"/>
      <c r="AD14"/>
      <c r="AE14"/>
      <c r="AF14"/>
      <c r="AG14"/>
    </row>
    <row r="15" spans="2:33" ht="15.75" customHeight="1" thickBot="1" x14ac:dyDescent="0.5">
      <c r="B15" s="211" t="s">
        <v>81</v>
      </c>
      <c r="C15" s="212"/>
      <c r="D15" s="212"/>
      <c r="E15" s="212"/>
      <c r="F15" s="212"/>
      <c r="G15" s="212"/>
      <c r="H15" s="212"/>
      <c r="I15" s="213"/>
      <c r="AB15"/>
      <c r="AC15"/>
      <c r="AD15"/>
      <c r="AE15"/>
      <c r="AF15"/>
      <c r="AG15"/>
    </row>
    <row r="16" spans="2:33" ht="15.75" customHeight="1" thickBot="1" x14ac:dyDescent="0.5">
      <c r="B16" s="206">
        <f>IF(I14=0,0,(C14*C11+D14*D11+E14*E11+F14*F11+G14*G11)/I14)</f>
        <v>0</v>
      </c>
      <c r="C16" s="207"/>
      <c r="D16" s="207"/>
      <c r="E16" s="207"/>
      <c r="F16" s="207"/>
      <c r="G16" s="207"/>
      <c r="H16" s="207"/>
      <c r="I16" s="187"/>
      <c r="AB16"/>
      <c r="AC16"/>
      <c r="AD16"/>
      <c r="AE16"/>
      <c r="AF16"/>
      <c r="AG16"/>
    </row>
    <row r="17" spans="28:33" x14ac:dyDescent="0.45">
      <c r="AB17"/>
      <c r="AC17"/>
      <c r="AD17"/>
      <c r="AE17"/>
      <c r="AF17"/>
      <c r="AG17"/>
    </row>
    <row r="25" spans="28:33" ht="15.75" customHeight="1" x14ac:dyDescent="0.45"/>
    <row r="27" spans="28:33" ht="15" customHeight="1" x14ac:dyDescent="0.45"/>
    <row r="41" spans="1:13" ht="14.65" thickBot="1" x14ac:dyDescent="0.5"/>
    <row r="42" spans="1:13" ht="15" customHeight="1" x14ac:dyDescent="0.45">
      <c r="B42" s="247" t="s">
        <v>108</v>
      </c>
      <c r="C42" s="248"/>
      <c r="D42" s="248"/>
      <c r="E42" s="248"/>
      <c r="F42" s="248"/>
      <c r="G42" s="248"/>
      <c r="H42" s="248"/>
      <c r="I42" s="248"/>
      <c r="J42" s="248"/>
      <c r="K42" s="248"/>
      <c r="L42" s="248"/>
      <c r="M42" s="249"/>
    </row>
    <row r="43" spans="1:13" ht="15" customHeight="1" x14ac:dyDescent="0.45">
      <c r="B43" s="250"/>
      <c r="C43" s="251"/>
      <c r="D43" s="251"/>
      <c r="E43" s="251"/>
      <c r="F43" s="251"/>
      <c r="G43" s="251"/>
      <c r="H43" s="251"/>
      <c r="I43" s="251"/>
      <c r="J43" s="251"/>
      <c r="K43" s="251"/>
      <c r="L43" s="251"/>
      <c r="M43" s="252"/>
    </row>
    <row r="44" spans="1:13" ht="15.75" customHeight="1" thickBot="1" x14ac:dyDescent="0.5">
      <c r="B44" s="253"/>
      <c r="C44" s="254"/>
      <c r="D44" s="254"/>
      <c r="E44" s="254"/>
      <c r="F44" s="254"/>
      <c r="G44" s="254"/>
      <c r="H44" s="254"/>
      <c r="I44" s="254"/>
      <c r="J44" s="254"/>
      <c r="K44" s="254"/>
      <c r="L44" s="254"/>
      <c r="M44" s="255"/>
    </row>
    <row r="45" spans="1:13" ht="15.4" x14ac:dyDescent="0.45">
      <c r="B45" s="279" t="str">
        <f>"Según se muestra en la tabla PLANIFICACIÓN el porcentaje de implementación alcanzado es de "&amp;TEXT(B20,"0.00%")&amp;""</f>
        <v>Según se muestra en la tabla PLANIFICACIÓN el porcentaje de implementación alcanzado es de 0.00%</v>
      </c>
      <c r="C45" s="280"/>
      <c r="D45" s="280"/>
      <c r="E45" s="280"/>
      <c r="F45" s="280"/>
      <c r="G45" s="280"/>
      <c r="H45" s="280"/>
      <c r="I45" s="280"/>
      <c r="J45" s="280"/>
      <c r="K45" s="280"/>
      <c r="L45" s="280"/>
      <c r="M45" s="281"/>
    </row>
    <row r="46" spans="1:13" ht="15" customHeight="1" x14ac:dyDescent="0.45">
      <c r="A46" s="121"/>
      <c r="B46" s="276" t="s">
        <v>195</v>
      </c>
      <c r="C46" s="277"/>
      <c r="D46" s="277"/>
      <c r="E46" s="277"/>
      <c r="F46" s="277"/>
      <c r="G46" s="277"/>
      <c r="H46" s="277"/>
      <c r="I46" s="277"/>
      <c r="J46" s="277"/>
      <c r="K46" s="277"/>
      <c r="L46" s="277"/>
      <c r="M46" s="278"/>
    </row>
    <row r="47" spans="1:13" x14ac:dyDescent="0.45">
      <c r="A47" s="121"/>
      <c r="B47" s="276"/>
      <c r="C47" s="277"/>
      <c r="D47" s="277"/>
      <c r="E47" s="277"/>
      <c r="F47" s="277"/>
      <c r="G47" s="277"/>
      <c r="H47" s="277"/>
      <c r="I47" s="277"/>
      <c r="J47" s="277"/>
      <c r="K47" s="277"/>
      <c r="L47" s="277"/>
      <c r="M47" s="278"/>
    </row>
    <row r="48" spans="1:13" x14ac:dyDescent="0.45">
      <c r="A48" s="121"/>
      <c r="B48" s="276"/>
      <c r="C48" s="277"/>
      <c r="D48" s="277"/>
      <c r="E48" s="277"/>
      <c r="F48" s="277"/>
      <c r="G48" s="277"/>
      <c r="H48" s="277"/>
      <c r="I48" s="277"/>
      <c r="J48" s="277"/>
      <c r="K48" s="277"/>
      <c r="L48" s="277"/>
      <c r="M48" s="278"/>
    </row>
    <row r="49" spans="1:13" ht="14.65" thickBot="1" x14ac:dyDescent="0.5">
      <c r="A49" s="121"/>
      <c r="B49" s="276"/>
      <c r="C49" s="277"/>
      <c r="D49" s="277"/>
      <c r="E49" s="277"/>
      <c r="F49" s="277"/>
      <c r="G49" s="277"/>
      <c r="H49" s="277"/>
      <c r="I49" s="277"/>
      <c r="J49" s="277"/>
      <c r="K49" s="277"/>
      <c r="L49" s="277"/>
      <c r="M49" s="278"/>
    </row>
    <row r="50" spans="1:13" x14ac:dyDescent="0.45">
      <c r="B50" s="129"/>
      <c r="C50" s="129"/>
      <c r="D50" s="129"/>
      <c r="E50" s="129"/>
      <c r="F50" s="129"/>
      <c r="G50" s="129"/>
      <c r="H50" s="129"/>
      <c r="I50" s="129"/>
      <c r="J50" s="129"/>
      <c r="K50" s="129"/>
      <c r="L50" s="129"/>
      <c r="M50" s="129"/>
    </row>
    <row r="51" spans="1:13" x14ac:dyDescent="0.45">
      <c r="B51" s="128"/>
      <c r="C51" s="128"/>
      <c r="D51" s="128"/>
      <c r="E51" s="128"/>
      <c r="F51" s="128"/>
      <c r="G51" s="128"/>
      <c r="H51" s="128"/>
      <c r="I51" s="128"/>
      <c r="J51" s="128"/>
      <c r="K51" s="128"/>
      <c r="L51" s="128"/>
      <c r="M51" s="128"/>
    </row>
  </sheetData>
  <mergeCells count="9">
    <mergeCell ref="B46:M49"/>
    <mergeCell ref="B9:I9"/>
    <mergeCell ref="B16:I16"/>
    <mergeCell ref="B15:I15"/>
    <mergeCell ref="B3:M4"/>
    <mergeCell ref="B5:E6"/>
    <mergeCell ref="F5:M6"/>
    <mergeCell ref="B42:M44"/>
    <mergeCell ref="B45:M4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AE50"/>
  <sheetViews>
    <sheetView zoomScale="70" zoomScaleNormal="70" workbookViewId="0">
      <selection activeCell="B47" sqref="B47:M49"/>
    </sheetView>
  </sheetViews>
  <sheetFormatPr baseColWidth="10" defaultColWidth="11.3984375" defaultRowHeight="14.25" x14ac:dyDescent="0.45"/>
  <cols>
    <col min="1" max="1" width="11.3984375" style="37" customWidth="1"/>
    <col min="2" max="2" width="43" style="37" customWidth="1"/>
    <col min="3" max="16384" width="11.3984375" style="37"/>
  </cols>
  <sheetData>
    <row r="2" spans="2:31" ht="14.65" thickBot="1" x14ac:dyDescent="0.5"/>
    <row r="3" spans="2:31" ht="15" customHeight="1" x14ac:dyDescent="0.45">
      <c r="B3" s="215" t="s">
        <v>35</v>
      </c>
      <c r="C3" s="216"/>
      <c r="D3" s="216"/>
      <c r="E3" s="216"/>
      <c r="F3" s="216"/>
      <c r="G3" s="216"/>
      <c r="H3" s="216"/>
      <c r="I3" s="216"/>
      <c r="J3" s="216"/>
      <c r="K3" s="216"/>
      <c r="L3" s="216"/>
      <c r="M3" s="217"/>
      <c r="N3"/>
      <c r="O3"/>
      <c r="P3"/>
    </row>
    <row r="4" spans="2:31" ht="15.75" customHeight="1" thickBot="1" x14ac:dyDescent="0.5">
      <c r="B4" s="218"/>
      <c r="C4" s="219"/>
      <c r="D4" s="219"/>
      <c r="E4" s="219"/>
      <c r="F4" s="219"/>
      <c r="G4" s="219"/>
      <c r="H4" s="219"/>
      <c r="I4" s="219"/>
      <c r="J4" s="219"/>
      <c r="K4" s="219"/>
      <c r="L4" s="219"/>
      <c r="M4" s="220"/>
      <c r="N4"/>
      <c r="O4"/>
      <c r="P4"/>
    </row>
    <row r="5" spans="2:31" ht="15" customHeight="1" x14ac:dyDescent="0.45">
      <c r="B5" s="221" t="s">
        <v>105</v>
      </c>
      <c r="C5" s="222"/>
      <c r="D5" s="222"/>
      <c r="E5" s="222"/>
      <c r="F5" s="222"/>
      <c r="G5" s="221" t="str">
        <f>IF(M9&lt;=24%,"INICIAL",IF(M9&lt;=49%,"NOVATO",IF(M9&lt;=74%,"COMPETENTE",IF(M9&lt;=99%,"AVANZADO","EXPERTO"))))</f>
        <v>INICIAL</v>
      </c>
      <c r="H5" s="222"/>
      <c r="I5" s="222"/>
      <c r="J5" s="222"/>
      <c r="K5" s="222"/>
      <c r="L5" s="222"/>
      <c r="M5" s="223"/>
      <c r="N5"/>
      <c r="O5"/>
      <c r="P5"/>
    </row>
    <row r="6" spans="2:31" ht="15.75" customHeight="1" thickBot="1" x14ac:dyDescent="0.5">
      <c r="B6" s="224"/>
      <c r="C6" s="225"/>
      <c r="D6" s="225"/>
      <c r="E6" s="225"/>
      <c r="F6" s="225"/>
      <c r="G6" s="224"/>
      <c r="H6" s="225"/>
      <c r="I6" s="225"/>
      <c r="J6" s="225"/>
      <c r="K6" s="225"/>
      <c r="L6" s="225"/>
      <c r="M6" s="226"/>
      <c r="N6"/>
      <c r="O6"/>
      <c r="P6"/>
    </row>
    <row r="8" spans="2:31" ht="15.75" customHeight="1" thickBot="1" x14ac:dyDescent="0.5"/>
    <row r="9" spans="2:31" ht="15.75" customHeight="1" thickBot="1" x14ac:dyDescent="0.5">
      <c r="B9" s="208" t="s">
        <v>109</v>
      </c>
      <c r="C9" s="209"/>
      <c r="D9" s="209"/>
      <c r="E9" s="209"/>
      <c r="F9" s="209"/>
      <c r="G9" s="209"/>
      <c r="H9" s="209"/>
      <c r="I9" s="210"/>
    </row>
    <row r="10" spans="2:31" ht="27.75" customHeight="1" thickBot="1" x14ac:dyDescent="0.5">
      <c r="B10" s="98"/>
      <c r="C10" s="123" t="s">
        <v>74</v>
      </c>
      <c r="D10" s="124" t="s">
        <v>75</v>
      </c>
      <c r="E10" s="124" t="s">
        <v>76</v>
      </c>
      <c r="F10" s="125" t="s">
        <v>77</v>
      </c>
      <c r="G10" s="124" t="s">
        <v>78</v>
      </c>
      <c r="H10" s="126" t="s">
        <v>9</v>
      </c>
      <c r="I10" s="99"/>
      <c r="AB10"/>
      <c r="AC10"/>
      <c r="AD10"/>
      <c r="AE10"/>
    </row>
    <row r="11" spans="2:31" ht="15.75" customHeight="1" thickBot="1" x14ac:dyDescent="0.5">
      <c r="B11" s="86" t="s">
        <v>38</v>
      </c>
      <c r="C11" s="86">
        <v>0</v>
      </c>
      <c r="D11" s="86">
        <v>0.25</v>
      </c>
      <c r="E11" s="86">
        <v>0.5</v>
      </c>
      <c r="F11" s="86">
        <v>0.75</v>
      </c>
      <c r="G11" s="86">
        <v>1</v>
      </c>
      <c r="H11" s="87" t="s">
        <v>8</v>
      </c>
      <c r="I11" s="88" t="s">
        <v>39</v>
      </c>
      <c r="AB11"/>
      <c r="AC11"/>
      <c r="AD11"/>
      <c r="AE11"/>
    </row>
    <row r="12" spans="2:31" ht="15.75" customHeight="1" x14ac:dyDescent="0.45">
      <c r="B12" s="118" t="s">
        <v>86</v>
      </c>
      <c r="C12" s="109">
        <f>COUNTIF(REQUISITOS!B64,"X")</f>
        <v>0</v>
      </c>
      <c r="D12" s="109">
        <f>COUNTIF(REQUISITOS!C64,"X")</f>
        <v>0</v>
      </c>
      <c r="E12" s="109">
        <f>COUNTIF(REQUISITOS!D64,"X")</f>
        <v>0</v>
      </c>
      <c r="F12" s="109">
        <f>COUNTIF(REQUISITOS!E64,"X")</f>
        <v>0</v>
      </c>
      <c r="G12" s="109">
        <f>COUNTIF(REQUISITOS!F64,"X")</f>
        <v>0</v>
      </c>
      <c r="H12" s="109">
        <f>COUNTIF(REQUISITOS!G64,"X")</f>
        <v>0</v>
      </c>
      <c r="I12" s="114">
        <f>SUM(C12:H12)</f>
        <v>0</v>
      </c>
      <c r="AB12"/>
      <c r="AC12"/>
      <c r="AD12"/>
      <c r="AE12"/>
    </row>
    <row r="13" spans="2:31" ht="15.75" customHeight="1" x14ac:dyDescent="0.45">
      <c r="B13" s="119" t="s">
        <v>24</v>
      </c>
      <c r="C13" s="108">
        <f>COUNTIF(REQUISITOS!B67:B69,"X")</f>
        <v>0</v>
      </c>
      <c r="D13" s="108">
        <f>COUNTIF(REQUISITOS!C67:C69,"X")</f>
        <v>0</v>
      </c>
      <c r="E13" s="108">
        <f>COUNTIF(REQUISITOS!D67:D69,"X")</f>
        <v>0</v>
      </c>
      <c r="F13" s="108">
        <f>COUNTIF(REQUISITOS!E67:E69,"X")</f>
        <v>0</v>
      </c>
      <c r="G13" s="108">
        <f>COUNTIF(REQUISITOS!F67:F69,"X")</f>
        <v>0</v>
      </c>
      <c r="H13" s="108">
        <f>COUNTIF(REQUISITOS!G67:G69,"X")</f>
        <v>0</v>
      </c>
      <c r="I13" s="115">
        <f>SUM(C13:H13)</f>
        <v>0</v>
      </c>
      <c r="AB13"/>
      <c r="AC13"/>
      <c r="AD13"/>
      <c r="AE13"/>
    </row>
    <row r="14" spans="2:31" ht="15.75" customHeight="1" x14ac:dyDescent="0.45">
      <c r="B14" s="119" t="s">
        <v>112</v>
      </c>
      <c r="C14" s="108">
        <f>COUNTIF(REQUISITOS!B72:B73,"X")</f>
        <v>0</v>
      </c>
      <c r="D14" s="108">
        <f>COUNTIF(REQUISITOS!C72:C73,"X")</f>
        <v>0</v>
      </c>
      <c r="E14" s="108">
        <f>COUNTIF(REQUISITOS!D72:D73,"X")</f>
        <v>0</v>
      </c>
      <c r="F14" s="108">
        <f>COUNTIF(REQUISITOS!E72:E73,"X")</f>
        <v>0</v>
      </c>
      <c r="G14" s="108">
        <f>COUNTIF(REQUISITOS!F72:F73,"X")</f>
        <v>0</v>
      </c>
      <c r="H14" s="108">
        <f>COUNTIF(REQUISITOS!G72:G73,"X")</f>
        <v>0</v>
      </c>
      <c r="I14" s="115">
        <f>SUM(C14:H14)</f>
        <v>0</v>
      </c>
      <c r="AB14"/>
      <c r="AC14"/>
      <c r="AD14"/>
      <c r="AE14"/>
    </row>
    <row r="15" spans="2:31" ht="15.75" customHeight="1" x14ac:dyDescent="0.45">
      <c r="B15" s="119" t="s">
        <v>26</v>
      </c>
      <c r="C15" s="108">
        <f>COUNTIF(REQUISITOS!B76:B77,"X")</f>
        <v>0</v>
      </c>
      <c r="D15" s="108">
        <f>COUNTIF(REQUISITOS!C76:C77,"X")</f>
        <v>0</v>
      </c>
      <c r="E15" s="108">
        <f>COUNTIF(REQUISITOS!D76:D77,"X")</f>
        <v>0</v>
      </c>
      <c r="F15" s="108">
        <f>COUNTIF(REQUISITOS!E76:E77,"X")</f>
        <v>0</v>
      </c>
      <c r="G15" s="108">
        <f>COUNTIF(REQUISITOS!F76:F77,"X")</f>
        <v>0</v>
      </c>
      <c r="H15" s="108">
        <f>COUNTIF(REQUISITOS!G76:G77,"X")</f>
        <v>0</v>
      </c>
      <c r="I15" s="115">
        <f>SUM(C15:H15)</f>
        <v>0</v>
      </c>
      <c r="AB15"/>
      <c r="AC15"/>
      <c r="AD15"/>
      <c r="AE15"/>
    </row>
    <row r="16" spans="2:31" ht="15.75" customHeight="1" thickBot="1" x14ac:dyDescent="0.5">
      <c r="B16" s="120" t="s">
        <v>107</v>
      </c>
      <c r="C16" s="108">
        <f>COUNTIF(REQUISITOS!B80:B83,"X")</f>
        <v>0</v>
      </c>
      <c r="D16" s="108">
        <f>COUNTIF(REQUISITOS!C80:C83,"X")</f>
        <v>0</v>
      </c>
      <c r="E16" s="108">
        <f>COUNTIF(REQUISITOS!D80:D83,"X")</f>
        <v>0</v>
      </c>
      <c r="F16" s="108">
        <f>COUNTIF(REQUISITOS!E80:E83,"X")</f>
        <v>0</v>
      </c>
      <c r="G16" s="108">
        <f>COUNTIF(REQUISITOS!F80:F83,"X")</f>
        <v>0</v>
      </c>
      <c r="H16" s="108">
        <f>COUNTIF(REQUISITOS!G80:G83,"X")</f>
        <v>0</v>
      </c>
      <c r="I16" s="142">
        <f>SUM(C16:H16)</f>
        <v>0</v>
      </c>
      <c r="AB16"/>
      <c r="AC16"/>
      <c r="AD16"/>
      <c r="AE16"/>
    </row>
    <row r="17" spans="2:31" ht="15.75" customHeight="1" thickBot="1" x14ac:dyDescent="0.5">
      <c r="B17" s="89" t="s">
        <v>39</v>
      </c>
      <c r="C17" s="130">
        <f>SUM(C12:C16)</f>
        <v>0</v>
      </c>
      <c r="D17" s="131">
        <f t="shared" ref="D17:H17" si="0">SUM(D12:D16)</f>
        <v>0</v>
      </c>
      <c r="E17" s="131">
        <f t="shared" si="0"/>
        <v>0</v>
      </c>
      <c r="F17" s="131">
        <f t="shared" si="0"/>
        <v>0</v>
      </c>
      <c r="G17" s="131">
        <f t="shared" si="0"/>
        <v>0</v>
      </c>
      <c r="H17" s="131">
        <f t="shared" si="0"/>
        <v>0</v>
      </c>
      <c r="I17" s="131">
        <f>SUM(I12:I16)-H17</f>
        <v>0</v>
      </c>
      <c r="AB17"/>
      <c r="AC17"/>
      <c r="AD17"/>
      <c r="AE17"/>
    </row>
    <row r="18" spans="2:31" ht="15.75" customHeight="1" thickBot="1" x14ac:dyDescent="0.5">
      <c r="B18" s="211" t="s">
        <v>82</v>
      </c>
      <c r="C18" s="212"/>
      <c r="D18" s="212"/>
      <c r="E18" s="212"/>
      <c r="F18" s="212"/>
      <c r="G18" s="212"/>
      <c r="H18" s="212"/>
      <c r="I18" s="213"/>
      <c r="AB18"/>
      <c r="AC18"/>
      <c r="AD18"/>
      <c r="AE18"/>
    </row>
    <row r="19" spans="2:31" ht="15.75" customHeight="1" thickBot="1" x14ac:dyDescent="0.5">
      <c r="B19" s="206">
        <f>IF(I17=0,0,(C17*C11+D17*D11+E17*E11+F17*F11+G17*G11)/I17)</f>
        <v>0</v>
      </c>
      <c r="C19" s="207"/>
      <c r="D19" s="207"/>
      <c r="E19" s="207"/>
      <c r="F19" s="207"/>
      <c r="G19" s="207"/>
      <c r="H19" s="207"/>
      <c r="I19" s="187"/>
      <c r="AB19"/>
      <c r="AC19"/>
      <c r="AD19"/>
      <c r="AE19"/>
    </row>
    <row r="24" spans="2:31" ht="15.75" customHeight="1" x14ac:dyDescent="0.45"/>
    <row r="26" spans="2:31" ht="15" customHeight="1" x14ac:dyDescent="0.45"/>
    <row r="42" spans="1:13" ht="15" customHeight="1" thickBot="1" x14ac:dyDescent="0.5">
      <c r="B42" s="33"/>
    </row>
    <row r="43" spans="1:13" ht="15" customHeight="1" x14ac:dyDescent="0.45">
      <c r="B43" s="285" t="s">
        <v>108</v>
      </c>
      <c r="C43" s="286"/>
      <c r="D43" s="286"/>
      <c r="E43" s="286"/>
      <c r="F43" s="286"/>
      <c r="G43" s="286"/>
      <c r="H43" s="286"/>
      <c r="I43" s="286"/>
      <c r="J43" s="286"/>
      <c r="K43" s="286"/>
      <c r="L43" s="286"/>
      <c r="M43" s="287"/>
    </row>
    <row r="44" spans="1:13" ht="15.75" customHeight="1" x14ac:dyDescent="0.45">
      <c r="A44"/>
      <c r="B44" s="288"/>
      <c r="C44" s="289"/>
      <c r="D44" s="289"/>
      <c r="E44" s="289"/>
      <c r="F44" s="289"/>
      <c r="G44" s="289"/>
      <c r="H44" s="289"/>
      <c r="I44" s="289"/>
      <c r="J44" s="289"/>
      <c r="K44" s="289"/>
      <c r="L44" s="289"/>
      <c r="M44" s="290"/>
    </row>
    <row r="45" spans="1:13" ht="15.75" customHeight="1" thickBot="1" x14ac:dyDescent="0.5">
      <c r="A45"/>
      <c r="B45" s="291"/>
      <c r="C45" s="292"/>
      <c r="D45" s="292"/>
      <c r="E45" s="292"/>
      <c r="F45" s="292"/>
      <c r="G45" s="292"/>
      <c r="H45" s="292"/>
      <c r="I45" s="292"/>
      <c r="J45" s="292"/>
      <c r="K45" s="292"/>
      <c r="L45" s="292"/>
      <c r="M45" s="293"/>
    </row>
    <row r="46" spans="1:13" ht="15" x14ac:dyDescent="0.45">
      <c r="B46" s="294" t="str">
        <f>"Según se muestra en la tabla APOYO el porcentaje de implementación alcanzado es de "&amp;TEXT(B19,"0.00%")&amp;" "</f>
        <v xml:space="preserve">Según se muestra en la tabla APOYO el porcentaje de implementación alcanzado es de 0.00% </v>
      </c>
      <c r="C46" s="295"/>
      <c r="D46" s="295"/>
      <c r="E46" s="295"/>
      <c r="F46" s="295"/>
      <c r="G46" s="295"/>
      <c r="H46" s="295"/>
      <c r="I46" s="295"/>
      <c r="J46" s="295"/>
      <c r="K46" s="295"/>
      <c r="L46" s="295"/>
      <c r="M46" s="296"/>
    </row>
    <row r="47" spans="1:13" ht="17.25" customHeight="1" x14ac:dyDescent="0.45">
      <c r="B47" s="256" t="s">
        <v>196</v>
      </c>
      <c r="C47" s="257"/>
      <c r="D47" s="257"/>
      <c r="E47" s="257"/>
      <c r="F47" s="257"/>
      <c r="G47" s="257"/>
      <c r="H47" s="257"/>
      <c r="I47" s="257"/>
      <c r="J47" s="257"/>
      <c r="K47" s="257"/>
      <c r="L47" s="257"/>
      <c r="M47" s="258"/>
    </row>
    <row r="48" spans="1:13" x14ac:dyDescent="0.45">
      <c r="B48" s="256"/>
      <c r="C48" s="257"/>
      <c r="D48" s="257"/>
      <c r="E48" s="257"/>
      <c r="F48" s="257"/>
      <c r="G48" s="257"/>
      <c r="H48" s="257"/>
      <c r="I48" s="257"/>
      <c r="J48" s="257"/>
      <c r="K48" s="257"/>
      <c r="L48" s="257"/>
      <c r="M48" s="258"/>
    </row>
    <row r="49" spans="2:13" ht="31.5" customHeight="1" thickBot="1" x14ac:dyDescent="0.5">
      <c r="B49" s="282"/>
      <c r="C49" s="283"/>
      <c r="D49" s="283"/>
      <c r="E49" s="283"/>
      <c r="F49" s="283"/>
      <c r="G49" s="283"/>
      <c r="H49" s="283"/>
      <c r="I49" s="283"/>
      <c r="J49" s="283"/>
      <c r="K49" s="283"/>
      <c r="L49" s="283"/>
      <c r="M49" s="284"/>
    </row>
    <row r="50" spans="2:13" x14ac:dyDescent="0.45">
      <c r="B50" s="128"/>
      <c r="C50" s="128"/>
      <c r="D50" s="128"/>
      <c r="E50" s="128"/>
      <c r="F50" s="128"/>
      <c r="G50" s="128"/>
      <c r="H50" s="128"/>
      <c r="I50" s="128"/>
      <c r="J50" s="128"/>
      <c r="K50" s="128"/>
      <c r="L50" s="128"/>
      <c r="M50" s="128"/>
    </row>
  </sheetData>
  <mergeCells count="9">
    <mergeCell ref="B47:M49"/>
    <mergeCell ref="B19:I19"/>
    <mergeCell ref="B9:I9"/>
    <mergeCell ref="B18:I18"/>
    <mergeCell ref="B3:M4"/>
    <mergeCell ref="B5:F6"/>
    <mergeCell ref="G5:M6"/>
    <mergeCell ref="B43:M45"/>
    <mergeCell ref="B46:M4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AG50"/>
  <sheetViews>
    <sheetView zoomScale="70" zoomScaleNormal="70" workbookViewId="0">
      <selection activeCell="B58" sqref="B58"/>
    </sheetView>
  </sheetViews>
  <sheetFormatPr baseColWidth="10" defaultColWidth="11.3984375" defaultRowHeight="14.25" x14ac:dyDescent="0.45"/>
  <cols>
    <col min="1" max="1" width="11.3984375" style="37" customWidth="1"/>
    <col min="2" max="2" width="71" style="37" bestFit="1" customWidth="1"/>
    <col min="3" max="9" width="13.86328125" style="37" customWidth="1"/>
    <col min="10" max="16384" width="11.3984375" style="37"/>
  </cols>
  <sheetData>
    <row r="2" spans="2:33" ht="14.65" thickBot="1" x14ac:dyDescent="0.5"/>
    <row r="3" spans="2:33" ht="15" customHeight="1" x14ac:dyDescent="0.45">
      <c r="B3" s="215" t="s">
        <v>35</v>
      </c>
      <c r="C3" s="216"/>
      <c r="D3" s="216"/>
      <c r="E3" s="216"/>
      <c r="F3" s="216"/>
      <c r="G3" s="216"/>
      <c r="H3" s="216"/>
      <c r="I3" s="216"/>
      <c r="J3" s="216"/>
      <c r="K3" s="216"/>
      <c r="L3" s="217"/>
      <c r="M3"/>
      <c r="N3"/>
      <c r="O3"/>
      <c r="P3"/>
    </row>
    <row r="4" spans="2:33" ht="15.75" customHeight="1" thickBot="1" x14ac:dyDescent="0.5">
      <c r="B4" s="218"/>
      <c r="C4" s="219"/>
      <c r="D4" s="219"/>
      <c r="E4" s="219"/>
      <c r="F4" s="219"/>
      <c r="G4" s="219"/>
      <c r="H4" s="219"/>
      <c r="I4" s="219"/>
      <c r="J4" s="219"/>
      <c r="K4" s="219"/>
      <c r="L4" s="220"/>
      <c r="M4"/>
      <c r="N4"/>
      <c r="O4"/>
      <c r="P4"/>
    </row>
    <row r="5" spans="2:33" ht="15" customHeight="1" x14ac:dyDescent="0.45">
      <c r="B5" s="221" t="s">
        <v>105</v>
      </c>
      <c r="C5" s="222"/>
      <c r="D5" s="222"/>
      <c r="E5" s="222"/>
      <c r="F5" s="221" t="str">
        <f>IF(M9&lt;=24%,"INICIAL",IF(M9&lt;=49%,"NOVATO",IF(M9&lt;=74%,"COMPETENTE",IF(M9&lt;=99%,"AVANZADO","EXPERTO"))))</f>
        <v>INICIAL</v>
      </c>
      <c r="G5" s="222"/>
      <c r="H5" s="222"/>
      <c r="I5" s="222"/>
      <c r="J5" s="222"/>
      <c r="K5" s="222"/>
      <c r="L5" s="223"/>
      <c r="M5"/>
      <c r="N5"/>
      <c r="O5"/>
      <c r="P5"/>
    </row>
    <row r="6" spans="2:33" ht="15.75" customHeight="1" thickBot="1" x14ac:dyDescent="0.5">
      <c r="B6" s="224"/>
      <c r="C6" s="225"/>
      <c r="D6" s="225"/>
      <c r="E6" s="225"/>
      <c r="F6" s="224"/>
      <c r="G6" s="225"/>
      <c r="H6" s="225"/>
      <c r="I6" s="225"/>
      <c r="J6" s="225"/>
      <c r="K6" s="225"/>
      <c r="L6" s="226"/>
      <c r="M6"/>
      <c r="N6"/>
      <c r="O6"/>
      <c r="P6"/>
    </row>
    <row r="7" spans="2:33" ht="15.75" customHeight="1" thickBot="1" x14ac:dyDescent="0.5"/>
    <row r="8" spans="2:33" ht="15.75" customHeight="1" thickBot="1" x14ac:dyDescent="0.5">
      <c r="B8" s="208" t="s">
        <v>59</v>
      </c>
      <c r="C8" s="209"/>
      <c r="D8" s="209"/>
      <c r="E8" s="209"/>
      <c r="F8" s="209"/>
      <c r="G8" s="209"/>
      <c r="H8" s="209"/>
      <c r="I8" s="210"/>
    </row>
    <row r="9" spans="2:33" ht="27.75" customHeight="1" thickBot="1" x14ac:dyDescent="0.5">
      <c r="B9" s="98"/>
      <c r="C9" s="123" t="s">
        <v>74</v>
      </c>
      <c r="D9" s="124" t="s">
        <v>75</v>
      </c>
      <c r="E9" s="124" t="s">
        <v>76</v>
      </c>
      <c r="F9" s="125" t="s">
        <v>77</v>
      </c>
      <c r="G9" s="124" t="s">
        <v>78</v>
      </c>
      <c r="H9" s="126" t="s">
        <v>9</v>
      </c>
      <c r="I9" s="99"/>
      <c r="AA9"/>
      <c r="AB9"/>
      <c r="AC9"/>
      <c r="AD9"/>
      <c r="AE9"/>
      <c r="AF9"/>
      <c r="AG9"/>
    </row>
    <row r="10" spans="2:33" ht="15.75" customHeight="1" thickBot="1" x14ac:dyDescent="0.5">
      <c r="B10" s="10" t="s">
        <v>38</v>
      </c>
      <c r="C10" s="10">
        <v>0</v>
      </c>
      <c r="D10" s="10">
        <v>0.25</v>
      </c>
      <c r="E10" s="10">
        <v>0.5</v>
      </c>
      <c r="F10" s="10">
        <v>0.75</v>
      </c>
      <c r="G10" s="10">
        <v>1</v>
      </c>
      <c r="H10" s="11" t="s">
        <v>8</v>
      </c>
      <c r="I10" s="12" t="s">
        <v>39</v>
      </c>
      <c r="AA10"/>
      <c r="AB10"/>
      <c r="AC10"/>
      <c r="AD10"/>
      <c r="AE10"/>
      <c r="AF10"/>
      <c r="AG10"/>
    </row>
    <row r="11" spans="2:33" ht="15.75" customHeight="1" x14ac:dyDescent="0.45">
      <c r="B11" s="26" t="s">
        <v>28</v>
      </c>
      <c r="C11" s="152">
        <f>COUNTIF(REQUISITOS!B87:B90,"X")</f>
        <v>0</v>
      </c>
      <c r="D11" s="152">
        <f>COUNTIF(REQUISITOS!C87:C90,"X")</f>
        <v>0</v>
      </c>
      <c r="E11" s="152">
        <f>COUNTIF(REQUISITOS!D87:D90,"X")</f>
        <v>0</v>
      </c>
      <c r="F11" s="152">
        <f>COUNTIF(REQUISITOS!E87:E90,"X")</f>
        <v>0</v>
      </c>
      <c r="G11" s="152">
        <f>COUNTIF(REQUISITOS!F87:F90,"X")</f>
        <v>0</v>
      </c>
      <c r="H11" s="152">
        <f>COUNTIF(REQUISITOS!G87:G90,"X")</f>
        <v>0</v>
      </c>
      <c r="I11" s="147">
        <f t="shared" ref="I11:I13" si="0">SUM(C11:H11)</f>
        <v>0</v>
      </c>
      <c r="AA11"/>
      <c r="AB11"/>
      <c r="AC11"/>
      <c r="AD11"/>
      <c r="AE11"/>
      <c r="AF11"/>
      <c r="AG11"/>
    </row>
    <row r="12" spans="2:33" ht="15.75" customHeight="1" x14ac:dyDescent="0.45">
      <c r="B12" s="25" t="s">
        <v>167</v>
      </c>
      <c r="C12" s="106">
        <f>COUNTIF(REQUISITOS!B93,"X")</f>
        <v>0</v>
      </c>
      <c r="D12" s="106">
        <f>COUNTIF(REQUISITOS!C93,"X")</f>
        <v>0</v>
      </c>
      <c r="E12" s="106">
        <f>COUNTIF(REQUISITOS!D93,"X")</f>
        <v>0</v>
      </c>
      <c r="F12" s="106">
        <f>COUNTIF(REQUISITOS!E93,"X")</f>
        <v>0</v>
      </c>
      <c r="G12" s="106">
        <f>COUNTIF(REQUISITOS!F93,"X")</f>
        <v>0</v>
      </c>
      <c r="H12" s="106">
        <f>COUNTIF(REQUISITOS!G93,"X")</f>
        <v>0</v>
      </c>
      <c r="I12" s="148">
        <f t="shared" si="0"/>
        <v>0</v>
      </c>
      <c r="AA12"/>
      <c r="AB12"/>
      <c r="AC12"/>
      <c r="AD12"/>
      <c r="AE12"/>
      <c r="AF12"/>
      <c r="AG12"/>
    </row>
    <row r="13" spans="2:33" ht="15.75" customHeight="1" thickBot="1" x14ac:dyDescent="0.5">
      <c r="B13" s="25" t="s">
        <v>169</v>
      </c>
      <c r="C13" s="106">
        <f>COUNTIF(REQUISITOS!B96:B99,"X")</f>
        <v>0</v>
      </c>
      <c r="D13" s="106">
        <f>COUNTIF(REQUISITOS!C96:C99,"X")</f>
        <v>0</v>
      </c>
      <c r="E13" s="106">
        <f>COUNTIF(REQUISITOS!D96:D99,"X")</f>
        <v>0</v>
      </c>
      <c r="F13" s="106">
        <f>COUNTIF(REQUISITOS!E96:E99,"X")</f>
        <v>0</v>
      </c>
      <c r="G13" s="106">
        <f>COUNTIF(REQUISITOS!F96:F99,"X")</f>
        <v>0</v>
      </c>
      <c r="H13" s="106">
        <f>COUNTIF(REQUISITOS!G96:G99,"X")</f>
        <v>0</v>
      </c>
      <c r="I13" s="148">
        <f t="shared" si="0"/>
        <v>0</v>
      </c>
      <c r="AA13"/>
      <c r="AB13"/>
      <c r="AC13"/>
      <c r="AD13"/>
      <c r="AE13"/>
      <c r="AF13"/>
      <c r="AG13"/>
    </row>
    <row r="14" spans="2:33" ht="15.75" customHeight="1" thickBot="1" x14ac:dyDescent="0.5">
      <c r="B14" s="89" t="s">
        <v>39</v>
      </c>
      <c r="C14" s="130">
        <f t="shared" ref="C14:H14" si="1">SUM(C11:C13)</f>
        <v>0</v>
      </c>
      <c r="D14" s="130">
        <f t="shared" si="1"/>
        <v>0</v>
      </c>
      <c r="E14" s="130">
        <f t="shared" si="1"/>
        <v>0</v>
      </c>
      <c r="F14" s="130">
        <f t="shared" si="1"/>
        <v>0</v>
      </c>
      <c r="G14" s="130">
        <f t="shared" si="1"/>
        <v>0</v>
      </c>
      <c r="H14" s="130">
        <f t="shared" si="1"/>
        <v>0</v>
      </c>
      <c r="I14" s="131">
        <f>SUM(I11:I13)-H14</f>
        <v>0</v>
      </c>
      <c r="AA14"/>
      <c r="AB14"/>
      <c r="AC14"/>
      <c r="AD14"/>
      <c r="AE14"/>
      <c r="AF14"/>
      <c r="AG14"/>
    </row>
    <row r="15" spans="2:33" ht="15.75" customHeight="1" thickBot="1" x14ac:dyDescent="0.5">
      <c r="B15" s="211" t="s">
        <v>83</v>
      </c>
      <c r="C15" s="212"/>
      <c r="D15" s="212"/>
      <c r="E15" s="212"/>
      <c r="F15" s="212"/>
      <c r="G15" s="212"/>
      <c r="H15" s="212"/>
      <c r="I15" s="213"/>
      <c r="AA15"/>
      <c r="AB15"/>
      <c r="AC15"/>
      <c r="AD15"/>
      <c r="AE15"/>
      <c r="AF15"/>
      <c r="AG15"/>
    </row>
    <row r="16" spans="2:33" ht="15.75" customHeight="1" thickBot="1" x14ac:dyDescent="0.5">
      <c r="B16" s="206">
        <f>IF(I14=0,0,(C14*C10+D14*D10+E14*E10+F14*F10+G14*G10)/I14)</f>
        <v>0</v>
      </c>
      <c r="C16" s="207"/>
      <c r="D16" s="207"/>
      <c r="E16" s="207"/>
      <c r="F16" s="207"/>
      <c r="G16" s="207"/>
      <c r="H16" s="207"/>
      <c r="I16" s="187"/>
    </row>
    <row r="20" ht="15.75" customHeight="1" x14ac:dyDescent="0.45"/>
    <row r="22" ht="15" customHeight="1" x14ac:dyDescent="0.45"/>
    <row r="43" spans="2:13" ht="14.65" thickBot="1" x14ac:dyDescent="0.5"/>
    <row r="44" spans="2:13" ht="15" customHeight="1" x14ac:dyDescent="0.45">
      <c r="B44" s="285" t="s">
        <v>108</v>
      </c>
      <c r="C44" s="286"/>
      <c r="D44" s="286"/>
      <c r="E44" s="286"/>
      <c r="F44" s="286"/>
      <c r="G44" s="286"/>
      <c r="H44" s="286"/>
      <c r="I44" s="286"/>
      <c r="J44" s="286"/>
      <c r="K44" s="286"/>
      <c r="L44" s="287"/>
      <c r="M44"/>
    </row>
    <row r="45" spans="2:13" ht="15" customHeight="1" x14ac:dyDescent="0.45">
      <c r="B45" s="288"/>
      <c r="C45" s="289"/>
      <c r="D45" s="289"/>
      <c r="E45" s="289"/>
      <c r="F45" s="289"/>
      <c r="G45" s="289"/>
      <c r="H45" s="289"/>
      <c r="I45" s="289"/>
      <c r="J45" s="289"/>
      <c r="K45" s="289"/>
      <c r="L45" s="290"/>
      <c r="M45"/>
    </row>
    <row r="46" spans="2:13" ht="15.75" customHeight="1" thickBot="1" x14ac:dyDescent="0.5">
      <c r="B46" s="291"/>
      <c r="C46" s="292"/>
      <c r="D46" s="292"/>
      <c r="E46" s="292"/>
      <c r="F46" s="292"/>
      <c r="G46" s="292"/>
      <c r="H46" s="292"/>
      <c r="I46" s="292"/>
      <c r="J46" s="292"/>
      <c r="K46" s="292"/>
      <c r="L46" s="293"/>
      <c r="M46"/>
    </row>
    <row r="47" spans="2:13" ht="27" customHeight="1" x14ac:dyDescent="0.45">
      <c r="B47" s="297" t="str">
        <f>"Según se muestra en la Tabla OPERACIÓN el porcentaje de implementación alcanzado es de "&amp;TEXT(B16,"0.00%")&amp;""</f>
        <v>Según se muestra en la Tabla OPERACIÓN el porcentaje de implementación alcanzado es de 0.00%</v>
      </c>
      <c r="C47" s="298"/>
      <c r="D47" s="298"/>
      <c r="E47" s="298"/>
      <c r="F47" s="298"/>
      <c r="G47" s="298"/>
      <c r="H47" s="298"/>
      <c r="I47" s="298"/>
      <c r="J47" s="298"/>
      <c r="K47" s="298"/>
      <c r="L47" s="299"/>
    </row>
    <row r="48" spans="2:13" ht="15.75" customHeight="1" x14ac:dyDescent="0.45">
      <c r="B48" s="256" t="s">
        <v>190</v>
      </c>
      <c r="C48" s="257"/>
      <c r="D48" s="257"/>
      <c r="E48" s="257"/>
      <c r="F48" s="257"/>
      <c r="G48" s="257"/>
      <c r="H48" s="257"/>
      <c r="I48" s="257"/>
      <c r="J48" s="257"/>
      <c r="K48" s="257"/>
      <c r="L48" s="258"/>
    </row>
    <row r="49" spans="2:12" x14ac:dyDescent="0.45">
      <c r="B49" s="256"/>
      <c r="C49" s="257"/>
      <c r="D49" s="257"/>
      <c r="E49" s="257"/>
      <c r="F49" s="257"/>
      <c r="G49" s="257"/>
      <c r="H49" s="257"/>
      <c r="I49" s="257"/>
      <c r="J49" s="257"/>
      <c r="K49" s="257"/>
      <c r="L49" s="258"/>
    </row>
    <row r="50" spans="2:12" ht="33" customHeight="1" thickBot="1" x14ac:dyDescent="0.5">
      <c r="B50" s="282"/>
      <c r="C50" s="283"/>
      <c r="D50" s="283"/>
      <c r="E50" s="283"/>
      <c r="F50" s="283"/>
      <c r="G50" s="283"/>
      <c r="H50" s="283"/>
      <c r="I50" s="283"/>
      <c r="J50" s="283"/>
      <c r="K50" s="283"/>
      <c r="L50" s="284"/>
    </row>
  </sheetData>
  <mergeCells count="9">
    <mergeCell ref="B48:L50"/>
    <mergeCell ref="B15:I15"/>
    <mergeCell ref="B16:I16"/>
    <mergeCell ref="B8:I8"/>
    <mergeCell ref="B3:L4"/>
    <mergeCell ref="B5:E6"/>
    <mergeCell ref="F5:L6"/>
    <mergeCell ref="B44:L46"/>
    <mergeCell ref="B47:L4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AJ48"/>
  <sheetViews>
    <sheetView topLeftCell="A7" zoomScale="70" zoomScaleNormal="70" workbookViewId="0">
      <selection activeCell="J50" sqref="J50"/>
    </sheetView>
  </sheetViews>
  <sheetFormatPr baseColWidth="10" defaultColWidth="11.3984375" defaultRowHeight="14.25" x14ac:dyDescent="0.45"/>
  <cols>
    <col min="1" max="1" width="11.3984375" style="37" customWidth="1"/>
    <col min="2" max="2" width="48.265625" style="37" customWidth="1"/>
    <col min="3" max="8" width="14.73046875" style="37" customWidth="1"/>
    <col min="9" max="16384" width="11.3984375" style="37"/>
  </cols>
  <sheetData>
    <row r="2" spans="2:36" ht="14.65" thickBot="1" x14ac:dyDescent="0.5"/>
    <row r="3" spans="2:36" ht="15" customHeight="1" x14ac:dyDescent="0.45">
      <c r="B3" s="215" t="s">
        <v>35</v>
      </c>
      <c r="C3" s="216"/>
      <c r="D3" s="216"/>
      <c r="E3" s="216"/>
      <c r="F3" s="216"/>
      <c r="G3" s="216"/>
      <c r="H3" s="216"/>
      <c r="I3" s="216"/>
      <c r="J3" s="216"/>
      <c r="K3" s="216"/>
      <c r="L3" s="217"/>
      <c r="M3"/>
      <c r="N3"/>
      <c r="O3"/>
      <c r="P3"/>
    </row>
    <row r="4" spans="2:36" ht="15.75" customHeight="1" thickBot="1" x14ac:dyDescent="0.5">
      <c r="B4" s="218"/>
      <c r="C4" s="219"/>
      <c r="D4" s="219"/>
      <c r="E4" s="219"/>
      <c r="F4" s="219"/>
      <c r="G4" s="219"/>
      <c r="H4" s="219"/>
      <c r="I4" s="219"/>
      <c r="J4" s="219"/>
      <c r="K4" s="219"/>
      <c r="L4" s="220"/>
      <c r="M4"/>
      <c r="N4"/>
      <c r="O4"/>
      <c r="P4"/>
    </row>
    <row r="5" spans="2:36" ht="15" customHeight="1" x14ac:dyDescent="0.45">
      <c r="B5" s="221" t="s">
        <v>105</v>
      </c>
      <c r="C5" s="222"/>
      <c r="D5" s="222"/>
      <c r="E5" s="222"/>
      <c r="F5" s="222"/>
      <c r="G5" s="221" t="str">
        <f>IF(M9&lt;=24%,"INICIAL",IF(M9&lt;=49%,"NOVATO",IF(M9&lt;=74%,"COMPETENTE",IF(M9&lt;=99%,"AVANZADO","EXPERTO"))))</f>
        <v>INICIAL</v>
      </c>
      <c r="H5" s="222"/>
      <c r="I5" s="222"/>
      <c r="J5" s="222"/>
      <c r="K5" s="222"/>
      <c r="L5" s="223"/>
      <c r="M5"/>
      <c r="N5"/>
      <c r="O5"/>
      <c r="P5"/>
    </row>
    <row r="6" spans="2:36" ht="15.75" customHeight="1" thickBot="1" x14ac:dyDescent="0.5">
      <c r="B6" s="224"/>
      <c r="C6" s="225"/>
      <c r="D6" s="225"/>
      <c r="E6" s="225"/>
      <c r="F6" s="225"/>
      <c r="G6" s="224"/>
      <c r="H6" s="225"/>
      <c r="I6" s="225"/>
      <c r="J6" s="225"/>
      <c r="K6" s="225"/>
      <c r="L6" s="226"/>
      <c r="M6"/>
      <c r="N6"/>
      <c r="O6"/>
      <c r="P6"/>
    </row>
    <row r="9" spans="2:36" ht="15.75" customHeight="1" thickBot="1" x14ac:dyDescent="0.5"/>
    <row r="10" spans="2:36" ht="15.75" customHeight="1" thickBot="1" x14ac:dyDescent="0.5">
      <c r="B10" s="208" t="s">
        <v>63</v>
      </c>
      <c r="C10" s="209"/>
      <c r="D10" s="209"/>
      <c r="E10" s="209"/>
      <c r="F10" s="209"/>
      <c r="G10" s="209"/>
      <c r="H10" s="209"/>
      <c r="I10" s="210"/>
    </row>
    <row r="11" spans="2:36" ht="27.75" customHeight="1" thickBot="1" x14ac:dyDescent="0.5">
      <c r="B11" s="98"/>
      <c r="C11" s="123" t="s">
        <v>74</v>
      </c>
      <c r="D11" s="124" t="s">
        <v>75</v>
      </c>
      <c r="E11" s="124" t="s">
        <v>76</v>
      </c>
      <c r="F11" s="125" t="s">
        <v>77</v>
      </c>
      <c r="G11" s="124" t="s">
        <v>78</v>
      </c>
      <c r="H11" s="126" t="s">
        <v>9</v>
      </c>
      <c r="I11" s="99"/>
      <c r="AA11"/>
      <c r="AB11"/>
      <c r="AC11"/>
      <c r="AD11"/>
      <c r="AE11"/>
      <c r="AF11"/>
      <c r="AG11"/>
      <c r="AH11"/>
      <c r="AI11"/>
      <c r="AJ11"/>
    </row>
    <row r="12" spans="2:36" ht="15.75" customHeight="1" thickBot="1" x14ac:dyDescent="0.5">
      <c r="B12" s="86" t="s">
        <v>38</v>
      </c>
      <c r="C12" s="139">
        <v>0</v>
      </c>
      <c r="D12" s="139">
        <v>0.25</v>
      </c>
      <c r="E12" s="139">
        <v>0.5</v>
      </c>
      <c r="F12" s="139">
        <v>0.75</v>
      </c>
      <c r="G12" s="139">
        <v>1</v>
      </c>
      <c r="H12" s="140" t="s">
        <v>8</v>
      </c>
      <c r="I12" s="88" t="s">
        <v>39</v>
      </c>
      <c r="AA12"/>
      <c r="AB12"/>
      <c r="AC12"/>
      <c r="AD12"/>
      <c r="AE12"/>
      <c r="AF12"/>
      <c r="AG12"/>
      <c r="AH12"/>
      <c r="AI12"/>
      <c r="AJ12"/>
    </row>
    <row r="13" spans="2:36" x14ac:dyDescent="0.45">
      <c r="B13" s="26" t="s">
        <v>30</v>
      </c>
      <c r="C13" s="141">
        <f>COUNTIF(REQUISITOS!B103:B105,"X")</f>
        <v>0</v>
      </c>
      <c r="D13" s="141">
        <f>COUNTIF(REQUISITOS!C103:C105,"X")</f>
        <v>0</v>
      </c>
      <c r="E13" s="141">
        <f>COUNTIF(REQUISITOS!D103:D105,"X")</f>
        <v>0</v>
      </c>
      <c r="F13" s="141">
        <f>COUNTIF(REQUISITOS!E103:E105,"X")</f>
        <v>0</v>
      </c>
      <c r="G13" s="141">
        <f>COUNTIF(REQUISITOS!F103:F105,"X")</f>
        <v>0</v>
      </c>
      <c r="H13" s="141">
        <f>COUNTIF(REQUISITOS!G103:G105,"X")</f>
        <v>0</v>
      </c>
      <c r="I13" s="147">
        <f>SUM(C13:H13)</f>
        <v>0</v>
      </c>
      <c r="AA13"/>
      <c r="AB13"/>
      <c r="AC13"/>
      <c r="AD13"/>
      <c r="AE13"/>
      <c r="AF13"/>
      <c r="AG13"/>
      <c r="AH13"/>
      <c r="AI13"/>
      <c r="AJ13"/>
    </row>
    <row r="14" spans="2:36" x14ac:dyDescent="0.45">
      <c r="B14" s="25" t="s">
        <v>31</v>
      </c>
      <c r="C14" s="110">
        <f>COUNTIF(REQUISITOS!B108:B110,"X")</f>
        <v>0</v>
      </c>
      <c r="D14" s="110">
        <f>COUNTIF(REQUISITOS!C108:C110,"X")</f>
        <v>0</v>
      </c>
      <c r="E14" s="110">
        <f>COUNTIF(REQUISITOS!D108:D110,"X")</f>
        <v>0</v>
      </c>
      <c r="F14" s="110">
        <f>COUNTIF(REQUISITOS!E108:E110,"X")</f>
        <v>0</v>
      </c>
      <c r="G14" s="110">
        <f>COUNTIF(REQUISITOS!F108:F110,"X")</f>
        <v>0</v>
      </c>
      <c r="H14" s="110">
        <f>COUNTIF(REQUISITOS!G108:G110,"X")</f>
        <v>0</v>
      </c>
      <c r="I14" s="148">
        <f>SUM(C14:H14)</f>
        <v>0</v>
      </c>
      <c r="AA14"/>
      <c r="AB14"/>
      <c r="AC14"/>
      <c r="AD14"/>
      <c r="AE14"/>
      <c r="AF14"/>
      <c r="AG14"/>
      <c r="AH14"/>
      <c r="AI14"/>
      <c r="AJ14"/>
    </row>
    <row r="15" spans="2:36" ht="15.75" customHeight="1" thickBot="1" x14ac:dyDescent="0.5">
      <c r="B15" s="25" t="s">
        <v>32</v>
      </c>
      <c r="C15" s="110">
        <f>COUNTIF(REQUISITOS!B113:B115,"X")</f>
        <v>0</v>
      </c>
      <c r="D15" s="110">
        <f>COUNTIF(REQUISITOS!C113:C115,"X")</f>
        <v>0</v>
      </c>
      <c r="E15" s="110">
        <f>COUNTIF(REQUISITOS!D113:D115,"X")</f>
        <v>0</v>
      </c>
      <c r="F15" s="110">
        <f>COUNTIF(REQUISITOS!E113:E115,"X")</f>
        <v>0</v>
      </c>
      <c r="G15" s="110">
        <f>COUNTIF(REQUISITOS!F113:F115,"X")</f>
        <v>0</v>
      </c>
      <c r="H15" s="110">
        <f>COUNTIF(REQUISITOS!G113:G115,"X")</f>
        <v>0</v>
      </c>
      <c r="I15" s="149">
        <f>SUM(C15:H15)</f>
        <v>0</v>
      </c>
      <c r="AA15"/>
      <c r="AB15"/>
      <c r="AC15"/>
      <c r="AD15"/>
      <c r="AE15"/>
      <c r="AF15"/>
      <c r="AG15"/>
      <c r="AH15"/>
      <c r="AI15"/>
      <c r="AJ15"/>
    </row>
    <row r="16" spans="2:36" ht="15.75" customHeight="1" thickBot="1" x14ac:dyDescent="0.5">
      <c r="B16" s="89" t="s">
        <v>39</v>
      </c>
      <c r="C16" s="130">
        <f t="shared" ref="C16:H16" si="0">SUM(C13:C15)</f>
        <v>0</v>
      </c>
      <c r="D16" s="130">
        <f t="shared" si="0"/>
        <v>0</v>
      </c>
      <c r="E16" s="130">
        <f t="shared" si="0"/>
        <v>0</v>
      </c>
      <c r="F16" s="130">
        <f t="shared" si="0"/>
        <v>0</v>
      </c>
      <c r="G16" s="130">
        <f t="shared" si="0"/>
        <v>0</v>
      </c>
      <c r="H16" s="130">
        <f t="shared" si="0"/>
        <v>0</v>
      </c>
      <c r="I16" s="131">
        <f>SUM(I13:I15)-H16</f>
        <v>0</v>
      </c>
      <c r="AA16"/>
      <c r="AB16"/>
      <c r="AC16"/>
      <c r="AD16"/>
      <c r="AE16"/>
      <c r="AF16"/>
      <c r="AG16"/>
      <c r="AH16"/>
      <c r="AI16"/>
      <c r="AJ16"/>
    </row>
    <row r="17" spans="2:36" ht="15.75" customHeight="1" thickBot="1" x14ac:dyDescent="0.5">
      <c r="B17" s="211" t="s">
        <v>84</v>
      </c>
      <c r="C17" s="212"/>
      <c r="D17" s="212"/>
      <c r="E17" s="212"/>
      <c r="F17" s="212"/>
      <c r="G17" s="212"/>
      <c r="H17" s="212"/>
      <c r="I17" s="213"/>
      <c r="AA17"/>
      <c r="AB17"/>
      <c r="AC17"/>
      <c r="AD17"/>
      <c r="AE17"/>
      <c r="AF17"/>
      <c r="AG17"/>
      <c r="AH17"/>
      <c r="AI17"/>
      <c r="AJ17"/>
    </row>
    <row r="18" spans="2:36" ht="15.75" customHeight="1" thickBot="1" x14ac:dyDescent="0.5">
      <c r="B18" s="206">
        <f>IF(I16=0,0,(C16*C12+D16*D12+E16*E12+F16*F12+G16*G12)/I16)</f>
        <v>0</v>
      </c>
      <c r="C18" s="207"/>
      <c r="D18" s="207"/>
      <c r="E18" s="207"/>
      <c r="F18" s="207"/>
      <c r="G18" s="207"/>
      <c r="H18" s="207"/>
      <c r="I18" s="187"/>
      <c r="AA18"/>
      <c r="AB18"/>
      <c r="AC18"/>
      <c r="AD18"/>
      <c r="AE18"/>
      <c r="AF18"/>
      <c r="AG18"/>
      <c r="AH18"/>
      <c r="AI18"/>
      <c r="AJ18"/>
    </row>
    <row r="19" spans="2:36" x14ac:dyDescent="0.45">
      <c r="AA19"/>
      <c r="AB19"/>
      <c r="AC19"/>
      <c r="AD19"/>
      <c r="AE19"/>
      <c r="AF19"/>
      <c r="AG19"/>
      <c r="AH19"/>
      <c r="AI19"/>
      <c r="AJ19"/>
    </row>
    <row r="20" spans="2:36" x14ac:dyDescent="0.45">
      <c r="AA20"/>
      <c r="AB20"/>
      <c r="AC20"/>
      <c r="AD20"/>
      <c r="AE20"/>
      <c r="AF20"/>
      <c r="AG20"/>
      <c r="AH20"/>
      <c r="AI20"/>
      <c r="AJ20"/>
    </row>
    <row r="21" spans="2:36" x14ac:dyDescent="0.45">
      <c r="AA21"/>
      <c r="AB21"/>
      <c r="AC21"/>
      <c r="AD21"/>
      <c r="AE21"/>
      <c r="AF21"/>
      <c r="AG21"/>
      <c r="AH21"/>
      <c r="AI21"/>
      <c r="AJ21"/>
    </row>
    <row r="26" spans="2:36" ht="15.75" customHeight="1" x14ac:dyDescent="0.45"/>
    <row r="28" spans="2:36" ht="15" customHeight="1" x14ac:dyDescent="0.45"/>
    <row r="38" spans="2:12" ht="15.4" x14ac:dyDescent="0.45">
      <c r="B38" s="33"/>
    </row>
    <row r="41" spans="2:12" ht="15" customHeight="1" thickBot="1" x14ac:dyDescent="0.5"/>
    <row r="42" spans="2:12" ht="15" customHeight="1" x14ac:dyDescent="0.45">
      <c r="B42" s="285" t="s">
        <v>108</v>
      </c>
      <c r="C42" s="286"/>
      <c r="D42" s="286"/>
      <c r="E42" s="286"/>
      <c r="F42" s="286"/>
      <c r="G42" s="286"/>
      <c r="H42" s="286"/>
      <c r="I42" s="286"/>
      <c r="J42" s="286"/>
      <c r="K42" s="286"/>
      <c r="L42" s="287"/>
    </row>
    <row r="43" spans="2:12" ht="15.75" customHeight="1" x14ac:dyDescent="0.45">
      <c r="B43" s="288"/>
      <c r="C43" s="289"/>
      <c r="D43" s="289"/>
      <c r="E43" s="289"/>
      <c r="F43" s="289"/>
      <c r="G43" s="289"/>
      <c r="H43" s="289"/>
      <c r="I43" s="289"/>
      <c r="J43" s="289"/>
      <c r="K43" s="289"/>
      <c r="L43" s="290"/>
    </row>
    <row r="44" spans="2:12" ht="14.65" thickBot="1" x14ac:dyDescent="0.5">
      <c r="B44" s="291"/>
      <c r="C44" s="292"/>
      <c r="D44" s="292"/>
      <c r="E44" s="292"/>
      <c r="F44" s="292"/>
      <c r="G44" s="292"/>
      <c r="H44" s="292"/>
      <c r="I44" s="292"/>
      <c r="J44" s="292"/>
      <c r="K44" s="292"/>
      <c r="L44" s="293"/>
    </row>
    <row r="45" spans="2:12" ht="22.5" customHeight="1" x14ac:dyDescent="0.45">
      <c r="B45" s="297" t="str">
        <f>"Según se muestra en la Tabla  Evaluación del Desempeño el porcentaje de implementación alcanzado es de "&amp;TEXT(B18,"0.00%")&amp;" "</f>
        <v xml:space="preserve">Según se muestra en la Tabla  Evaluación del Desempeño el porcentaje de implementación alcanzado es de 0.00% </v>
      </c>
      <c r="C45" s="298"/>
      <c r="D45" s="298"/>
      <c r="E45" s="298"/>
      <c r="F45" s="298"/>
      <c r="G45" s="298"/>
      <c r="H45" s="298"/>
      <c r="I45" s="298"/>
      <c r="J45" s="298"/>
      <c r="K45" s="298"/>
      <c r="L45" s="299"/>
    </row>
    <row r="46" spans="2:12" ht="15.75" customHeight="1" x14ac:dyDescent="0.45">
      <c r="B46" s="256" t="s">
        <v>197</v>
      </c>
      <c r="C46" s="257"/>
      <c r="D46" s="257"/>
      <c r="E46" s="257"/>
      <c r="F46" s="257"/>
      <c r="G46" s="257"/>
      <c r="H46" s="257"/>
      <c r="I46" s="257"/>
      <c r="J46" s="257"/>
      <c r="K46" s="257"/>
      <c r="L46" s="258"/>
    </row>
    <row r="47" spans="2:12" x14ac:dyDescent="0.45">
      <c r="B47" s="256"/>
      <c r="C47" s="257"/>
      <c r="D47" s="257"/>
      <c r="E47" s="257"/>
      <c r="F47" s="257"/>
      <c r="G47" s="257"/>
      <c r="H47" s="257"/>
      <c r="I47" s="257"/>
      <c r="J47" s="257"/>
      <c r="K47" s="257"/>
      <c r="L47" s="258"/>
    </row>
    <row r="48" spans="2:12" ht="14.65" thickBot="1" x14ac:dyDescent="0.5">
      <c r="B48" s="282"/>
      <c r="C48" s="283"/>
      <c r="D48" s="283"/>
      <c r="E48" s="283"/>
      <c r="F48" s="283"/>
      <c r="G48" s="283"/>
      <c r="H48" s="283"/>
      <c r="I48" s="283"/>
      <c r="J48" s="283"/>
      <c r="K48" s="283"/>
      <c r="L48" s="284"/>
    </row>
  </sheetData>
  <mergeCells count="9">
    <mergeCell ref="B46:L48"/>
    <mergeCell ref="B18:I18"/>
    <mergeCell ref="B10:I10"/>
    <mergeCell ref="B17:I17"/>
    <mergeCell ref="B3:L4"/>
    <mergeCell ref="B5:F6"/>
    <mergeCell ref="G5:L6"/>
    <mergeCell ref="B42:L44"/>
    <mergeCell ref="B45:L4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AF47"/>
  <sheetViews>
    <sheetView tabSelected="1" zoomScale="70" zoomScaleNormal="70" workbookViewId="0">
      <selection activeCell="M50" sqref="M50"/>
    </sheetView>
  </sheetViews>
  <sheetFormatPr baseColWidth="10" defaultColWidth="11.3984375" defaultRowHeight="14.25" x14ac:dyDescent="0.45"/>
  <cols>
    <col min="1" max="1" width="11.3984375" style="37" customWidth="1"/>
    <col min="2" max="2" width="37.265625" style="37" customWidth="1"/>
    <col min="3" max="3" width="15.73046875" style="37" bestFit="1" customWidth="1"/>
    <col min="4" max="4" width="13.3984375" style="37" bestFit="1" customWidth="1"/>
    <col min="5" max="5" width="15" style="37" bestFit="1" customWidth="1"/>
    <col min="6" max="7" width="11.59765625" style="37" bestFit="1" customWidth="1"/>
    <col min="8" max="8" width="9.1328125" style="37" customWidth="1"/>
    <col min="9" max="16384" width="11.3984375" style="37"/>
  </cols>
  <sheetData>
    <row r="2" spans="2:32" ht="14.65" thickBot="1" x14ac:dyDescent="0.5"/>
    <row r="3" spans="2:32" ht="15" customHeight="1" x14ac:dyDescent="0.45">
      <c r="B3" s="215" t="s">
        <v>35</v>
      </c>
      <c r="C3" s="216"/>
      <c r="D3" s="216"/>
      <c r="E3" s="216"/>
      <c r="F3" s="216"/>
      <c r="G3" s="216"/>
      <c r="H3" s="216"/>
      <c r="I3" s="216"/>
      <c r="J3" s="216"/>
      <c r="K3" s="216"/>
      <c r="L3" s="216"/>
      <c r="M3" s="216"/>
      <c r="N3" s="217"/>
      <c r="O3"/>
      <c r="P3"/>
    </row>
    <row r="4" spans="2:32" ht="15.75" customHeight="1" thickBot="1" x14ac:dyDescent="0.5">
      <c r="B4" s="218"/>
      <c r="C4" s="219"/>
      <c r="D4" s="219"/>
      <c r="E4" s="219"/>
      <c r="F4" s="219"/>
      <c r="G4" s="219"/>
      <c r="H4" s="219"/>
      <c r="I4" s="219"/>
      <c r="J4" s="219"/>
      <c r="K4" s="219"/>
      <c r="L4" s="219"/>
      <c r="M4" s="219"/>
      <c r="N4" s="220"/>
      <c r="O4"/>
      <c r="P4"/>
    </row>
    <row r="5" spans="2:32" ht="15" customHeight="1" x14ac:dyDescent="0.45">
      <c r="B5" s="221" t="s">
        <v>105</v>
      </c>
      <c r="C5" s="222"/>
      <c r="D5" s="222"/>
      <c r="E5" s="222"/>
      <c r="F5" s="222"/>
      <c r="G5" s="222"/>
      <c r="H5" s="221" t="str">
        <f>IF(M9&lt;=24%,"INICIAL",IF(M9&lt;=49%,"NOVATO",IF(M9&lt;=74%,"COMPETENTE",IF(M9&lt;=99%,"AVANZADO","EXPERTO"))))</f>
        <v>INICIAL</v>
      </c>
      <c r="I5" s="222"/>
      <c r="J5" s="222"/>
      <c r="K5" s="222"/>
      <c r="L5" s="222"/>
      <c r="M5" s="222"/>
      <c r="N5" s="223"/>
      <c r="O5"/>
      <c r="P5"/>
    </row>
    <row r="6" spans="2:32" ht="15.75" customHeight="1" thickBot="1" x14ac:dyDescent="0.5">
      <c r="B6" s="224"/>
      <c r="C6" s="225"/>
      <c r="D6" s="225"/>
      <c r="E6" s="225"/>
      <c r="F6" s="225"/>
      <c r="G6" s="225"/>
      <c r="H6" s="224"/>
      <c r="I6" s="225"/>
      <c r="J6" s="225"/>
      <c r="K6" s="225"/>
      <c r="L6" s="225"/>
      <c r="M6" s="225"/>
      <c r="N6" s="226"/>
      <c r="O6"/>
      <c r="P6"/>
    </row>
    <row r="8" spans="2:32" ht="15.75" customHeight="1" thickBot="1" x14ac:dyDescent="0.5"/>
    <row r="9" spans="2:32" ht="15.75" customHeight="1" thickBot="1" x14ac:dyDescent="0.5">
      <c r="B9" s="208" t="s">
        <v>68</v>
      </c>
      <c r="C9" s="209"/>
      <c r="D9" s="209"/>
      <c r="E9" s="209"/>
      <c r="F9" s="209"/>
      <c r="G9" s="209"/>
      <c r="H9" s="209"/>
      <c r="I9" s="210"/>
      <c r="AB9"/>
      <c r="AC9"/>
      <c r="AD9"/>
      <c r="AE9"/>
      <c r="AF9"/>
    </row>
    <row r="10" spans="2:32" ht="27.75" customHeight="1" thickBot="1" x14ac:dyDescent="0.5">
      <c r="B10" s="98"/>
      <c r="C10" s="123" t="s">
        <v>74</v>
      </c>
      <c r="D10" s="124" t="s">
        <v>75</v>
      </c>
      <c r="E10" s="124" t="s">
        <v>76</v>
      </c>
      <c r="F10" s="125" t="s">
        <v>77</v>
      </c>
      <c r="G10" s="124" t="s">
        <v>78</v>
      </c>
      <c r="H10" s="126" t="s">
        <v>9</v>
      </c>
      <c r="I10" s="99"/>
      <c r="AB10"/>
      <c r="AC10"/>
      <c r="AD10"/>
      <c r="AE10"/>
      <c r="AF10"/>
    </row>
    <row r="11" spans="2:32" ht="15.75" customHeight="1" thickBot="1" x14ac:dyDescent="0.5">
      <c r="B11" s="10" t="s">
        <v>38</v>
      </c>
      <c r="C11" s="10">
        <v>0</v>
      </c>
      <c r="D11" s="10">
        <v>0.25</v>
      </c>
      <c r="E11" s="10">
        <v>0.5</v>
      </c>
      <c r="F11" s="10">
        <v>0.75</v>
      </c>
      <c r="G11" s="10">
        <v>1</v>
      </c>
      <c r="H11" s="11" t="s">
        <v>8</v>
      </c>
      <c r="I11" s="12" t="s">
        <v>39</v>
      </c>
      <c r="AB11"/>
      <c r="AC11"/>
      <c r="AD11"/>
      <c r="AE11"/>
      <c r="AF11"/>
    </row>
    <row r="12" spans="2:32" ht="15.75" customHeight="1" thickBot="1" x14ac:dyDescent="0.5">
      <c r="B12" s="15" t="s">
        <v>88</v>
      </c>
      <c r="C12" s="146">
        <f>COUNTIF(REQUISITOS!B119:B121,"X")</f>
        <v>0</v>
      </c>
      <c r="D12" s="146">
        <f>COUNTIF(REQUISITOS!C119:C121,"X")</f>
        <v>0</v>
      </c>
      <c r="E12" s="146">
        <f>COUNTIF(REQUISITOS!D119:D121,"X")</f>
        <v>0</v>
      </c>
      <c r="F12" s="146">
        <f>COUNTIF(REQUISITOS!E119:E121,"X")</f>
        <v>0</v>
      </c>
      <c r="G12" s="146">
        <f>COUNTIF(REQUISITOS!F119:F121,"X")</f>
        <v>0</v>
      </c>
      <c r="H12" s="146">
        <f>COUNTIF(REQUISITOS!G119:G121,"X")</f>
        <v>0</v>
      </c>
      <c r="I12" s="150">
        <f>SUM(C12:H12)</f>
        <v>0</v>
      </c>
      <c r="AB12"/>
      <c r="AC12"/>
      <c r="AD12"/>
      <c r="AE12"/>
      <c r="AF12"/>
    </row>
    <row r="13" spans="2:32" ht="15.75" customHeight="1" thickBot="1" x14ac:dyDescent="0.5">
      <c r="B13" s="15" t="s">
        <v>34</v>
      </c>
      <c r="C13" s="108">
        <f>COUNTIF(REQUISITOS!B124:B125,"X")</f>
        <v>0</v>
      </c>
      <c r="D13" s="108">
        <f>COUNTIF(REQUISITOS!C124:C125,"X")</f>
        <v>0</v>
      </c>
      <c r="E13" s="108">
        <f>COUNTIF(REQUISITOS!D124:D125,"X")</f>
        <v>0</v>
      </c>
      <c r="F13" s="108">
        <f>COUNTIF(REQUISITOS!E124:E125,"X")</f>
        <v>0</v>
      </c>
      <c r="G13" s="108">
        <f>COUNTIF(REQUISITOS!F124:F125,"X")</f>
        <v>0</v>
      </c>
      <c r="H13" s="108">
        <f>COUNTIF(REQUISITOS!G124:G125,"X")</f>
        <v>0</v>
      </c>
      <c r="I13" s="151">
        <f>SUM(C13:H13)</f>
        <v>0</v>
      </c>
      <c r="AB13"/>
      <c r="AC13"/>
      <c r="AD13"/>
      <c r="AE13"/>
      <c r="AF13"/>
    </row>
    <row r="14" spans="2:32" ht="15.75" customHeight="1" thickBot="1" x14ac:dyDescent="0.5">
      <c r="B14" s="89" t="s">
        <v>39</v>
      </c>
      <c r="C14" s="130">
        <f t="shared" ref="C14:H14" si="0">SUM(C12:C13)</f>
        <v>0</v>
      </c>
      <c r="D14" s="130">
        <f t="shared" si="0"/>
        <v>0</v>
      </c>
      <c r="E14" s="130">
        <f t="shared" si="0"/>
        <v>0</v>
      </c>
      <c r="F14" s="130">
        <f t="shared" si="0"/>
        <v>0</v>
      </c>
      <c r="G14" s="130">
        <f t="shared" si="0"/>
        <v>0</v>
      </c>
      <c r="H14" s="130">
        <f t="shared" si="0"/>
        <v>0</v>
      </c>
      <c r="I14" s="131">
        <f>SUM(I12:I13)-H14</f>
        <v>0</v>
      </c>
      <c r="AB14"/>
      <c r="AC14"/>
      <c r="AD14"/>
      <c r="AE14"/>
      <c r="AF14"/>
    </row>
    <row r="15" spans="2:32" ht="15.75" customHeight="1" thickBot="1" x14ac:dyDescent="0.5">
      <c r="B15" s="211" t="s">
        <v>85</v>
      </c>
      <c r="C15" s="212"/>
      <c r="D15" s="212"/>
      <c r="E15" s="212"/>
      <c r="F15" s="212"/>
      <c r="G15" s="212"/>
      <c r="H15" s="212"/>
      <c r="I15" s="213"/>
      <c r="AB15"/>
      <c r="AC15"/>
      <c r="AD15"/>
      <c r="AE15"/>
      <c r="AF15"/>
    </row>
    <row r="16" spans="2:32" ht="15.75" customHeight="1" thickBot="1" x14ac:dyDescent="0.5">
      <c r="B16" s="206">
        <f>IF(I14=0,0,(C14*C11+D14*D11+E14*E11+F14*F11+G14*G11)/I14)</f>
        <v>0</v>
      </c>
      <c r="C16" s="207"/>
      <c r="D16" s="207"/>
      <c r="E16" s="207"/>
      <c r="F16" s="207"/>
      <c r="G16" s="207"/>
      <c r="H16" s="207"/>
      <c r="I16" s="187"/>
      <c r="AB16"/>
      <c r="AC16"/>
      <c r="AD16"/>
      <c r="AE16"/>
      <c r="AF16"/>
    </row>
    <row r="17" spans="9:32" x14ac:dyDescent="0.45">
      <c r="AB17"/>
      <c r="AC17"/>
      <c r="AD17"/>
      <c r="AE17"/>
      <c r="AF17"/>
    </row>
    <row r="18" spans="9:32" x14ac:dyDescent="0.45">
      <c r="AB18"/>
      <c r="AC18"/>
      <c r="AD18"/>
      <c r="AE18"/>
      <c r="AF18"/>
    </row>
    <row r="19" spans="9:32" x14ac:dyDescent="0.45">
      <c r="AB19"/>
      <c r="AC19"/>
      <c r="AD19"/>
      <c r="AE19"/>
      <c r="AF19"/>
    </row>
    <row r="20" spans="9:32" x14ac:dyDescent="0.45">
      <c r="AB20"/>
      <c r="AC20"/>
      <c r="AD20"/>
      <c r="AE20"/>
      <c r="AF20"/>
    </row>
    <row r="21" spans="9:32" x14ac:dyDescent="0.45">
      <c r="AB21"/>
      <c r="AC21"/>
      <c r="AD21"/>
      <c r="AE21"/>
      <c r="AF21"/>
    </row>
    <row r="24" spans="9:32" ht="15.75" customHeight="1" x14ac:dyDescent="0.45">
      <c r="I24" s="33"/>
    </row>
    <row r="26" spans="9:32" ht="15" customHeight="1" x14ac:dyDescent="0.45"/>
    <row r="41" spans="2:14" ht="14.65" thickBot="1" x14ac:dyDescent="0.5"/>
    <row r="42" spans="2:14" ht="15" customHeight="1" x14ac:dyDescent="0.45">
      <c r="B42" s="285" t="s">
        <v>108</v>
      </c>
      <c r="C42" s="286"/>
      <c r="D42" s="286"/>
      <c r="E42" s="286"/>
      <c r="F42" s="286"/>
      <c r="G42" s="286"/>
      <c r="H42" s="286"/>
      <c r="I42" s="286"/>
      <c r="J42" s="286"/>
      <c r="K42" s="286"/>
      <c r="L42" s="286"/>
      <c r="M42" s="286"/>
      <c r="N42" s="287"/>
    </row>
    <row r="43" spans="2:14" ht="15" customHeight="1" x14ac:dyDescent="0.45">
      <c r="B43" s="288"/>
      <c r="C43" s="289"/>
      <c r="D43" s="289"/>
      <c r="E43" s="289"/>
      <c r="F43" s="289"/>
      <c r="G43" s="289"/>
      <c r="H43" s="289"/>
      <c r="I43" s="289"/>
      <c r="J43" s="289"/>
      <c r="K43" s="289"/>
      <c r="L43" s="289"/>
      <c r="M43" s="289"/>
      <c r="N43" s="290"/>
    </row>
    <row r="44" spans="2:14" ht="15" customHeight="1" thickBot="1" x14ac:dyDescent="0.5">
      <c r="B44" s="291"/>
      <c r="C44" s="292"/>
      <c r="D44" s="292"/>
      <c r="E44" s="292"/>
      <c r="F44" s="292"/>
      <c r="G44" s="292"/>
      <c r="H44" s="292"/>
      <c r="I44" s="292"/>
      <c r="J44" s="292"/>
      <c r="K44" s="292"/>
      <c r="L44" s="292"/>
      <c r="M44" s="292"/>
      <c r="N44" s="293"/>
    </row>
    <row r="45" spans="2:14" ht="15" customHeight="1" x14ac:dyDescent="0.45">
      <c r="B45" s="294" t="str">
        <f>"Según se muestra en la Tabla  MEJORA el porcentaje de implementación alcanzado es de "&amp;TEXT(B16,"0.00%")&amp;" "</f>
        <v xml:space="preserve">Según se muestra en la Tabla  MEJORA el porcentaje de implementación alcanzado es de 0.00% </v>
      </c>
      <c r="C45" s="295"/>
      <c r="D45" s="295"/>
      <c r="E45" s="295"/>
      <c r="F45" s="295"/>
      <c r="G45" s="295"/>
      <c r="H45" s="295"/>
      <c r="I45" s="295"/>
      <c r="J45" s="295"/>
      <c r="K45" s="295"/>
      <c r="L45" s="295"/>
      <c r="M45" s="295"/>
      <c r="N45" s="296"/>
    </row>
    <row r="46" spans="2:14" ht="15" customHeight="1" x14ac:dyDescent="0.45">
      <c r="B46" s="300" t="s">
        <v>198</v>
      </c>
      <c r="C46" s="301"/>
      <c r="D46" s="301"/>
      <c r="E46" s="301"/>
      <c r="F46" s="301"/>
      <c r="G46" s="301"/>
      <c r="H46" s="301"/>
      <c r="I46" s="301"/>
      <c r="J46" s="301"/>
      <c r="K46" s="301"/>
      <c r="L46" s="301"/>
      <c r="M46" s="301"/>
      <c r="N46" s="302"/>
    </row>
    <row r="47" spans="2:14" ht="15.75" customHeight="1" thickBot="1" x14ac:dyDescent="0.5">
      <c r="B47" s="303"/>
      <c r="C47" s="304"/>
      <c r="D47" s="304"/>
      <c r="E47" s="304"/>
      <c r="F47" s="304"/>
      <c r="G47" s="304"/>
      <c r="H47" s="304"/>
      <c r="I47" s="304"/>
      <c r="J47" s="304"/>
      <c r="K47" s="304"/>
      <c r="L47" s="304"/>
      <c r="M47" s="304"/>
      <c r="N47" s="305"/>
    </row>
  </sheetData>
  <mergeCells count="9">
    <mergeCell ref="B46:N47"/>
    <mergeCell ref="B16:I16"/>
    <mergeCell ref="B9:I9"/>
    <mergeCell ref="B15:I15"/>
    <mergeCell ref="B3:N4"/>
    <mergeCell ref="B5:G6"/>
    <mergeCell ref="H5:N6"/>
    <mergeCell ref="B42:N44"/>
    <mergeCell ref="B45:N4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VALORES</vt:lpstr>
      <vt:lpstr>REQUISITOS</vt:lpstr>
      <vt:lpstr>ANÁLISIS DATOS GLOBAL</vt:lpstr>
      <vt:lpstr>ANÁLISIS 4</vt:lpstr>
      <vt:lpstr>ANÁLISIS 5</vt:lpstr>
      <vt:lpstr>ANÁLISIS 6</vt:lpstr>
      <vt:lpstr>ANÁLISIS 7</vt:lpstr>
      <vt:lpstr>ANÁLISIS 8</vt:lpstr>
      <vt:lpstr>ANÁLISIS 9</vt:lpstr>
      <vt:lpstr>ANÁLISIS 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Sandra</dc:creator>
  <cp:lastModifiedBy>USUARIO</cp:lastModifiedBy>
  <dcterms:created xsi:type="dcterms:W3CDTF">2015-06-05T18:19:34Z</dcterms:created>
  <dcterms:modified xsi:type="dcterms:W3CDTF">2026-04-29T14:35:24Z</dcterms:modified>
</cp:coreProperties>
</file>